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46193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46193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46193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46193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46193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s="1" t="n">
        <v>45985</v>
      </c>
      <c r="C9" s="1" t="n">
        <v>46193</v>
      </c>
      <c r="D9" t="inlineStr">
        <is>
          <t>VÄSTRA GÖTALANDS LÄN</t>
        </is>
      </c>
      <c r="E9" t="inlineStr">
        <is>
          <t>KUNGÄLV</t>
        </is>
      </c>
      <c r="G9" t="n">
        <v>8.1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Älg
Spillkråka
Revlummer</t>
        </is>
      </c>
      <c r="S9">
        <f>HYPERLINK("https://klasma.github.io/Logging_1482/artfynd/A 58408-2025 artfynd.xlsx", "A 58408-2025")</f>
        <v/>
      </c>
      <c r="T9">
        <f>HYPERLINK("https://klasma.github.io/Logging_1482/kartor/A 58408-2025 karta.png", "A 58408-2025")</f>
        <v/>
      </c>
      <c r="V9">
        <f>HYPERLINK("https://klasma.github.io/Logging_1482/klagomål/A 58408-2025 FSC-klagomål.docx", "A 58408-2025")</f>
        <v/>
      </c>
      <c r="W9">
        <f>HYPERLINK("https://klasma.github.io/Logging_1482/klagomålsmail/A 58408-2025 FSC-klagomål mail.docx", "A 58408-2025")</f>
        <v/>
      </c>
      <c r="X9">
        <f>HYPERLINK("https://klasma.github.io/Logging_1482/tillsyn/A 58408-2025 tillsynsbegäran.docx", "A 58408-2025")</f>
        <v/>
      </c>
      <c r="Y9">
        <f>HYPERLINK("https://klasma.github.io/Logging_1482/tillsynsmail/A 58408-2025 tillsynsbegäran mail.docx", "A 58408-2025")</f>
        <v/>
      </c>
      <c r="Z9">
        <f>HYPERLINK("https://klasma.github.io/Logging_1482/fåglar/A 58408-2025 prioriterade fågelarter.docx", "A 58408-2025")</f>
        <v/>
      </c>
    </row>
    <row r="10" ht="15" customHeight="1">
      <c r="A10" t="inlineStr">
        <is>
          <t>A 23598-2026</t>
        </is>
      </c>
      <c r="B10" s="1" t="n">
        <v>46163</v>
      </c>
      <c r="C10" s="1" t="n">
        <v>46193</v>
      </c>
      <c r="D10" t="inlineStr">
        <is>
          <t>VÄSTRA GÖTALANDS LÄN</t>
        </is>
      </c>
      <c r="E10" t="inlineStr">
        <is>
          <t>KUNGÄLV</t>
        </is>
      </c>
      <c r="G10" t="n">
        <v>13.5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Spillkråka
Skogsödla</t>
        </is>
      </c>
      <c r="S10">
        <f>HYPERLINK("https://klasma.github.io/Logging_1482/artfynd/A 23598-2026 artfynd.xlsx", "A 23598-2026")</f>
        <v/>
      </c>
      <c r="T10">
        <f>HYPERLINK("https://klasma.github.io/Logging_1482/kartor/A 23598-2026 karta.png", "A 23598-2026")</f>
        <v/>
      </c>
      <c r="V10">
        <f>HYPERLINK("https://klasma.github.io/Logging_1482/klagomål/A 23598-2026 FSC-klagomål.docx", "A 23598-2026")</f>
        <v/>
      </c>
      <c r="W10">
        <f>HYPERLINK("https://klasma.github.io/Logging_1482/klagomålsmail/A 23598-2026 FSC-klagomål mail.docx", "A 23598-2026")</f>
        <v/>
      </c>
      <c r="X10">
        <f>HYPERLINK("https://klasma.github.io/Logging_1482/tillsyn/A 23598-2026 tillsynsbegäran.docx", "A 23598-2026")</f>
        <v/>
      </c>
      <c r="Y10">
        <f>HYPERLINK("https://klasma.github.io/Logging_1482/tillsynsmail/A 23598-2026 tillsynsbegäran mail.docx", "A 23598-2026")</f>
        <v/>
      </c>
      <c r="Z10">
        <f>HYPERLINK("https://klasma.github.io/Logging_1482/fåglar/A 23598-2026 prioriterade fågelarter.docx", "A 23598-2026")</f>
        <v/>
      </c>
    </row>
    <row r="11" ht="15" customHeight="1">
      <c r="A11" t="inlineStr">
        <is>
          <t>A 36424-2025</t>
        </is>
      </c>
      <c r="B11" s="1" t="n">
        <v>45868</v>
      </c>
      <c r="C11" s="1" t="n">
        <v>46193</v>
      </c>
      <c r="D11" t="inlineStr">
        <is>
          <t>VÄSTRA GÖTALANDS LÄN</t>
        </is>
      </c>
      <c r="E11" t="inlineStr">
        <is>
          <t>KUNGÄLV</t>
        </is>
      </c>
      <c r="G11" t="n">
        <v>16.9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Vedtrappmossa
Västlig hakmossa
Spillkråka</t>
        </is>
      </c>
      <c r="S11">
        <f>HYPERLINK("https://klasma.github.io/Logging_1482/artfynd/A 36424-2025 artfynd.xlsx", "A 36424-2025")</f>
        <v/>
      </c>
      <c r="T11">
        <f>HYPERLINK("https://klasma.github.io/Logging_1482/kartor/A 36424-2025 karta.png", "A 36424-2025")</f>
        <v/>
      </c>
      <c r="V11">
        <f>HYPERLINK("https://klasma.github.io/Logging_1482/klagomål/A 36424-2025 FSC-klagomål.docx", "A 36424-2025")</f>
        <v/>
      </c>
      <c r="W11">
        <f>HYPERLINK("https://klasma.github.io/Logging_1482/klagomålsmail/A 36424-2025 FSC-klagomål mail.docx", "A 36424-2025")</f>
        <v/>
      </c>
      <c r="X11">
        <f>HYPERLINK("https://klasma.github.io/Logging_1482/tillsyn/A 36424-2025 tillsynsbegäran.docx", "A 36424-2025")</f>
        <v/>
      </c>
      <c r="Y11">
        <f>HYPERLINK("https://klasma.github.io/Logging_1482/tillsynsmail/A 36424-2025 tillsynsbegäran mail.docx", "A 36424-2025")</f>
        <v/>
      </c>
      <c r="Z11">
        <f>HYPERLINK("https://klasma.github.io/Logging_1482/fåglar/A 36424-2025 prioriterade fågelarter.docx", "A 36424-2025")</f>
        <v/>
      </c>
    </row>
    <row r="12" ht="15" customHeight="1">
      <c r="A12" t="inlineStr">
        <is>
          <t>A 53008-2025</t>
        </is>
      </c>
      <c r="B12" s="1" t="n">
        <v>45957</v>
      </c>
      <c r="C12" s="1" t="n">
        <v>46193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Västlig hakmossa
Spillkråka</t>
        </is>
      </c>
      <c r="S12">
        <f>HYPERLINK("https://klasma.github.io/Logging_1482/artfynd/A 53008-2025 artfynd.xlsx", "A 53008-2025")</f>
        <v/>
      </c>
      <c r="T12">
        <f>HYPERLINK("https://klasma.github.io/Logging_1482/kartor/A 53008-2025 karta.png", "A 53008-2025")</f>
        <v/>
      </c>
      <c r="V12">
        <f>HYPERLINK("https://klasma.github.io/Logging_1482/klagomål/A 53008-2025 FSC-klagomål.docx", "A 53008-2025")</f>
        <v/>
      </c>
      <c r="W12">
        <f>HYPERLINK("https://klasma.github.io/Logging_1482/klagomålsmail/A 53008-2025 FSC-klagomål mail.docx", "A 53008-2025")</f>
        <v/>
      </c>
      <c r="X12">
        <f>HYPERLINK("https://klasma.github.io/Logging_1482/tillsyn/A 53008-2025 tillsynsbegäran.docx", "A 53008-2025")</f>
        <v/>
      </c>
      <c r="Y12">
        <f>HYPERLINK("https://klasma.github.io/Logging_1482/tillsynsmail/A 53008-2025 tillsynsbegäran mail.docx", "A 53008-2025")</f>
        <v/>
      </c>
      <c r="Z12">
        <f>HYPERLINK("https://klasma.github.io/Logging_1482/fåglar/A 53008-2025 prioriterade fågelarter.docx", "A 53008-2025")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46193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5631-2024</t>
        </is>
      </c>
      <c r="B14" s="1" t="n">
        <v>45334</v>
      </c>
      <c r="C14" s="1" t="n">
        <v>46193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groda
Fläcknycklar</t>
        </is>
      </c>
      <c r="S14">
        <f>HYPERLINK("https://klasma.github.io/Logging_1482/artfynd/A 5631-2024 artfynd.xlsx", "A 5631-2024")</f>
        <v/>
      </c>
      <c r="T14">
        <f>HYPERLINK("https://klasma.github.io/Logging_1482/kartor/A 5631-2024 karta.png", "A 5631-2024")</f>
        <v/>
      </c>
      <c r="V14">
        <f>HYPERLINK("https://klasma.github.io/Logging_1482/klagomål/A 5631-2024 FSC-klagomål.docx", "A 5631-2024")</f>
        <v/>
      </c>
      <c r="W14">
        <f>HYPERLINK("https://klasma.github.io/Logging_1482/klagomålsmail/A 5631-2024 FSC-klagomål mail.docx", "A 5631-2024")</f>
        <v/>
      </c>
      <c r="X14">
        <f>HYPERLINK("https://klasma.github.io/Logging_1482/tillsyn/A 5631-2024 tillsynsbegäran.docx", "A 5631-2024")</f>
        <v/>
      </c>
      <c r="Y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s="1" t="n">
        <v>45334</v>
      </c>
      <c r="C15" s="1" t="n">
        <v>46193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Klofibbla
Åkerrödtoppa</t>
        </is>
      </c>
      <c r="S15">
        <f>HYPERLINK("https://klasma.github.io/Logging_1482/artfynd/A 5637-2024 artfynd.xlsx", "A 5637-2024")</f>
        <v/>
      </c>
      <c r="T15">
        <f>HYPERLINK("https://klasma.github.io/Logging_1482/kartor/A 5637-2024 karta.png", "A 5637-2024")</f>
        <v/>
      </c>
      <c r="V15">
        <f>HYPERLINK("https://klasma.github.io/Logging_1482/klagomål/A 5637-2024 FSC-klagomål.docx", "A 5637-2024")</f>
        <v/>
      </c>
      <c r="W15">
        <f>HYPERLINK("https://klasma.github.io/Logging_1482/klagomålsmail/A 5637-2024 FSC-klagomål mail.docx", "A 5637-2024")</f>
        <v/>
      </c>
      <c r="X15">
        <f>HYPERLINK("https://klasma.github.io/Logging_1482/tillsyn/A 5637-2024 tillsynsbegäran.docx", "A 5637-2024")</f>
        <v/>
      </c>
      <c r="Y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s="1" t="n">
        <v>45974</v>
      </c>
      <c r="C16" s="1" t="n">
        <v>46193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Revlummer</t>
        </is>
      </c>
      <c r="S16">
        <f>HYPERLINK("https://klasma.github.io/Logging_1482/artfynd/A 56394-2025 artfynd.xlsx", "A 56394-2025")</f>
        <v/>
      </c>
      <c r="T16">
        <f>HYPERLINK("https://klasma.github.io/Logging_1482/kartor/A 56394-2025 karta.png", "A 56394-2025")</f>
        <v/>
      </c>
      <c r="V16">
        <f>HYPERLINK("https://klasma.github.io/Logging_1482/klagomål/A 56394-2025 FSC-klagomål.docx", "A 56394-2025")</f>
        <v/>
      </c>
      <c r="W16">
        <f>HYPERLINK("https://klasma.github.io/Logging_1482/klagomålsmail/A 56394-2025 FSC-klagomål mail.docx", "A 56394-2025")</f>
        <v/>
      </c>
      <c r="X16">
        <f>HYPERLINK("https://klasma.github.io/Logging_1482/tillsyn/A 56394-2025 tillsynsbegäran.docx", "A 56394-2025")</f>
        <v/>
      </c>
      <c r="Y16">
        <f>HYPERLINK("https://klasma.github.io/Logging_1482/tillsynsmail/A 56394-2025 tillsynsbegäran mail.docx", "A 56394-2025")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46193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53007-2025</t>
        </is>
      </c>
      <c r="B18" s="1" t="n">
        <v>45957</v>
      </c>
      <c r="C18" s="1" t="n">
        <v>46193</v>
      </c>
      <c r="D18" t="inlineStr">
        <is>
          <t>VÄSTRA GÖTALANDS LÄN</t>
        </is>
      </c>
      <c r="E18" t="inlineStr">
        <is>
          <t>KUNGÄLV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53007-2025 artfynd.xlsx", "A 53007-2025")</f>
        <v/>
      </c>
      <c r="T18">
        <f>HYPERLINK("https://klasma.github.io/Logging_1482/kartor/A 53007-2025 karta.png", "A 53007-2025")</f>
        <v/>
      </c>
      <c r="V18">
        <f>HYPERLINK("https://klasma.github.io/Logging_1482/klagomål/A 53007-2025 FSC-klagomål.docx", "A 53007-2025")</f>
        <v/>
      </c>
      <c r="W18">
        <f>HYPERLINK("https://klasma.github.io/Logging_1482/klagomålsmail/A 53007-2025 FSC-klagomål mail.docx", "A 53007-2025")</f>
        <v/>
      </c>
      <c r="X18">
        <f>HYPERLINK("https://klasma.github.io/Logging_1482/tillsyn/A 53007-2025 tillsynsbegäran.docx", "A 53007-2025")</f>
        <v/>
      </c>
      <c r="Y18">
        <f>HYPERLINK("https://klasma.github.io/Logging_1482/tillsynsmail/A 53007-2025 tillsynsbegäran mail.docx", "A 53007-2025")</f>
        <v/>
      </c>
      <c r="Z18">
        <f>HYPERLINK("https://klasma.github.io/Logging_1482/fåglar/A 53007-2025 prioriterade fågelarter.docx", "A 53007-2025")</f>
        <v/>
      </c>
    </row>
    <row r="19" ht="15" customHeight="1">
      <c r="A19" t="inlineStr">
        <is>
          <t>A 57116-2025</t>
        </is>
      </c>
      <c r="B19" s="1" t="n">
        <v>45979</v>
      </c>
      <c r="C19" s="1" t="n">
        <v>46193</v>
      </c>
      <c r="D19" t="inlineStr">
        <is>
          <t>VÄSTRA GÖTALANDS LÄN</t>
        </is>
      </c>
      <c r="E19" t="inlineStr">
        <is>
          <t>KUNGÄLV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57116-2025 artfynd.xlsx", "A 57116-2025")</f>
        <v/>
      </c>
      <c r="T19">
        <f>HYPERLINK("https://klasma.github.io/Logging_1482/kartor/A 57116-2025 karta.png", "A 57116-2025")</f>
        <v/>
      </c>
      <c r="V19">
        <f>HYPERLINK("https://klasma.github.io/Logging_1482/klagomål/A 57116-2025 FSC-klagomål.docx", "A 57116-2025")</f>
        <v/>
      </c>
      <c r="W19">
        <f>HYPERLINK("https://klasma.github.io/Logging_1482/klagomålsmail/A 57116-2025 FSC-klagomål mail.docx", "A 57116-2025")</f>
        <v/>
      </c>
      <c r="X19">
        <f>HYPERLINK("https://klasma.github.io/Logging_1482/tillsyn/A 57116-2025 tillsynsbegäran.docx", "A 57116-2025")</f>
        <v/>
      </c>
      <c r="Y19">
        <f>HYPERLINK("https://klasma.github.io/Logging_1482/tillsynsmail/A 57116-2025 tillsynsbegäran mail.docx", "A 57116-2025")</f>
        <v/>
      </c>
      <c r="Z19">
        <f>HYPERLINK("https://klasma.github.io/Logging_1482/fåglar/A 57116-2025 prioriterade fågelarter.docx", "A 57116-2025")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46193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s="1" t="n">
        <v>45697</v>
      </c>
      <c r="C22" s="1" t="n">
        <v>46193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HYPERLINK("https://klasma.github.io/Logging_1482/artfynd/A 6082-2025 artfynd.xlsx", "A 6082-2025")</f>
        <v/>
      </c>
      <c r="T22">
        <f>HYPERLINK("https://klasma.github.io/Logging_1482/kartor/A 6082-2025 karta.png", "A 6082-2025")</f>
        <v/>
      </c>
      <c r="V22">
        <f>HYPERLINK("https://klasma.github.io/Logging_1482/klagomål/A 6082-2025 FSC-klagomål.docx", "A 6082-2025")</f>
        <v/>
      </c>
      <c r="W22">
        <f>HYPERLINK("https://klasma.github.io/Logging_1482/klagomålsmail/A 6082-2025 FSC-klagomål mail.docx", "A 6082-2025")</f>
        <v/>
      </c>
      <c r="X22">
        <f>HYPERLINK("https://klasma.github.io/Logging_1482/tillsyn/A 6082-2025 tillsynsbegäran.docx", "A 6082-2025")</f>
        <v/>
      </c>
      <c r="Y22">
        <f>HYPERLINK("https://klasma.github.io/Logging_1482/tillsynsmail/A 6082-2025 tillsynsbegäran mail.docx", "A 6082-2025")</f>
        <v/>
      </c>
      <c r="Z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46193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46193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46193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46193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46193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46193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43520-2022</t>
        </is>
      </c>
      <c r="B34" s="1" t="n">
        <v>44837</v>
      </c>
      <c r="C34" s="1" t="n">
        <v>46193</v>
      </c>
      <c r="D34" t="inlineStr">
        <is>
          <t>VÄSTRA GÖTALANDS LÄN</t>
        </is>
      </c>
      <c r="E34" t="inlineStr">
        <is>
          <t>KUNGÄLV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</v>
      </c>
      <c r="C35" s="1" t="n">
        <v>46193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56782-2022</t>
        </is>
      </c>
      <c r="B36" s="1" t="n">
        <v>44894</v>
      </c>
      <c r="C36" s="1" t="n">
        <v>46193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29223-2024</t>
        </is>
      </c>
      <c r="B37" s="1" t="n">
        <v>45482</v>
      </c>
      <c r="C37" s="1" t="n">
        <v>46193</v>
      </c>
      <c r="D37" t="inlineStr">
        <is>
          <t>VÄSTRA GÖTALANDS LÄN</t>
        </is>
      </c>
      <c r="E37" t="inlineStr">
        <is>
          <t>KUNGÄLV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26812-2024</t>
        </is>
      </c>
      <c r="B38" s="1" t="n">
        <v>45470</v>
      </c>
      <c r="C38" s="1" t="n">
        <v>46193</v>
      </c>
      <c r="D38" t="inlineStr">
        <is>
          <t>VÄSTRA GÖTALANDS LÄN</t>
        </is>
      </c>
      <c r="E38" t="inlineStr">
        <is>
          <t>KUNGÄLV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</v>
      </c>
      <c r="C39" s="1" t="n">
        <v>46193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</v>
      </c>
      <c r="C40" s="1" t="n">
        <v>46193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46193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48311-2021</t>
        </is>
      </c>
      <c r="B42" s="1" t="n">
        <v>44450</v>
      </c>
      <c r="C42" s="1" t="n">
        <v>46193</v>
      </c>
      <c r="D42" t="inlineStr">
        <is>
          <t>VÄSTRA GÖTALANDS LÄN</t>
        </is>
      </c>
      <c r="E42" t="inlineStr">
        <is>
          <t>KUNGÄLV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46193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</v>
      </c>
      <c r="C44" s="1" t="n">
        <v>46193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46193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</v>
      </c>
      <c r="C46" s="1" t="n">
        <v>46193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46193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10810-2023</t>
        </is>
      </c>
      <c r="B48" s="1" t="n">
        <v>44989</v>
      </c>
      <c r="C48" s="1" t="n">
        <v>46193</v>
      </c>
      <c r="D48" t="inlineStr">
        <is>
          <t>VÄSTRA GÖTALANDS LÄN</t>
        </is>
      </c>
      <c r="E48" t="inlineStr">
        <is>
          <t>KUNGÄLV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62128-2021</t>
        </is>
      </c>
      <c r="B49" s="1" t="n">
        <v>44502</v>
      </c>
      <c r="C49" s="1" t="n">
        <v>46193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46193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4262-2024</t>
        </is>
      </c>
      <c r="B51" s="1" t="n">
        <v>45324</v>
      </c>
      <c r="C51" s="1" t="n">
        <v>46193</v>
      </c>
      <c r="D51" t="inlineStr">
        <is>
          <t>VÄSTRA GÖTALANDS LÄN</t>
        </is>
      </c>
      <c r="E51" t="inlineStr">
        <is>
          <t>KUNGÄLV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21240-2023</t>
        </is>
      </c>
      <c r="B52" s="1" t="n">
        <v>45058</v>
      </c>
      <c r="C52" s="1" t="n">
        <v>46193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18851-2024</t>
        </is>
      </c>
      <c r="B53" s="1" t="n">
        <v>45426</v>
      </c>
      <c r="C53" s="1" t="n">
        <v>46193</v>
      </c>
      <c r="D53" t="inlineStr">
        <is>
          <t>VÄSTRA GÖTALANDS LÄN</t>
        </is>
      </c>
      <c r="E53" t="inlineStr">
        <is>
          <t>KUNGÄLV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46193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44176-2023</t>
        </is>
      </c>
      <c r="B55" s="1" t="n">
        <v>45188</v>
      </c>
      <c r="C55" s="1" t="n">
        <v>46193</v>
      </c>
      <c r="D55" t="inlineStr">
        <is>
          <t>VÄSTRA GÖTALANDS LÄN</t>
        </is>
      </c>
      <c r="E55" t="inlineStr">
        <is>
          <t>KUNGÄLV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661-2025</t>
        </is>
      </c>
      <c r="B56" s="1" t="n">
        <v>45664</v>
      </c>
      <c r="C56" s="1" t="n">
        <v>46193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40951-2025</t>
        </is>
      </c>
      <c r="B57" s="1" t="n">
        <v>45897</v>
      </c>
      <c r="C57" s="1" t="n">
        <v>46193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23457-2024</t>
        </is>
      </c>
      <c r="B58" s="1" t="n">
        <v>45453</v>
      </c>
      <c r="C58" s="1" t="n">
        <v>46193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39714-2024</t>
        </is>
      </c>
      <c r="B59" s="1" t="n">
        <v>45552</v>
      </c>
      <c r="C59" s="1" t="n">
        <v>46193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18852-2024</t>
        </is>
      </c>
      <c r="B60" s="1" t="n">
        <v>45426</v>
      </c>
      <c r="C60" s="1" t="n">
        <v>46193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51724-2023</t>
        </is>
      </c>
      <c r="B61" s="1" t="n">
        <v>45222</v>
      </c>
      <c r="C61" s="1" t="n">
        <v>46193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</v>
      </c>
      <c r="C62" s="1" t="n">
        <v>46193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46193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</v>
      </c>
      <c r="C64" s="1" t="n">
        <v>46193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10679-2025</t>
        </is>
      </c>
      <c r="B65" s="1" t="n">
        <v>45721</v>
      </c>
      <c r="C65" s="1" t="n">
        <v>46193</v>
      </c>
      <c r="D65" t="inlineStr">
        <is>
          <t>VÄSTRA GÖTALANDS LÄN</t>
        </is>
      </c>
      <c r="E65" t="inlineStr">
        <is>
          <t>KUNGÄLV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8943-2025</t>
        </is>
      </c>
      <c r="B66" s="1" t="n">
        <v>45713</v>
      </c>
      <c r="C66" s="1" t="n">
        <v>46193</v>
      </c>
      <c r="D66" t="inlineStr">
        <is>
          <t>VÄSTRA GÖTALANDS LÄN</t>
        </is>
      </c>
      <c r="E66" t="inlineStr">
        <is>
          <t>KUNGÄLV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11237-2025</t>
        </is>
      </c>
      <c r="B67" s="1" t="n">
        <v>45726</v>
      </c>
      <c r="C67" s="1" t="n">
        <v>46193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15078-2025</t>
        </is>
      </c>
      <c r="B68" s="1" t="n">
        <v>45743</v>
      </c>
      <c r="C68" s="1" t="n">
        <v>46193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10677-2025</t>
        </is>
      </c>
      <c r="B69" s="1" t="n">
        <v>45721</v>
      </c>
      <c r="C69" s="1" t="n">
        <v>46193</v>
      </c>
      <c r="D69" t="inlineStr">
        <is>
          <t>VÄSTRA GÖTALANDS LÄN</t>
        </is>
      </c>
      <c r="E69" t="inlineStr">
        <is>
          <t>KUNGÄLV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74285-2021</t>
        </is>
      </c>
      <c r="B70" s="1" t="n">
        <v>44558</v>
      </c>
      <c r="C70" s="1" t="n">
        <v>46193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46193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143-2023</t>
        </is>
      </c>
      <c r="B72" s="1" t="n">
        <v>44928</v>
      </c>
      <c r="C72" s="1" t="n">
        <v>46193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43207-2025</t>
        </is>
      </c>
      <c r="B73" s="1" t="n">
        <v>45910</v>
      </c>
      <c r="C73" s="1" t="n">
        <v>46193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61417-2022</t>
        </is>
      </c>
      <c r="B74" s="1" t="n">
        <v>44916</v>
      </c>
      <c r="C74" s="1" t="n">
        <v>46193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</v>
      </c>
      <c r="C75" s="1" t="n">
        <v>46193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63319-2021</t>
        </is>
      </c>
      <c r="B76" s="1" t="n">
        <v>44508</v>
      </c>
      <c r="C76" s="1" t="n">
        <v>46193</v>
      </c>
      <c r="D76" t="inlineStr">
        <is>
          <t>VÄSTRA GÖTALANDS LÄN</t>
        </is>
      </c>
      <c r="E76" t="inlineStr">
        <is>
          <t>KUNGÄLV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</v>
      </c>
      <c r="C77" s="1" t="n">
        <v>46193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</v>
      </c>
      <c r="C78" s="1" t="n">
        <v>46193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7505-2024</t>
        </is>
      </c>
      <c r="B79" s="1" t="n">
        <v>45347</v>
      </c>
      <c r="C79" s="1" t="n">
        <v>46193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46193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</v>
      </c>
      <c r="C81" s="1" t="n">
        <v>46193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</v>
      </c>
      <c r="C82" s="1" t="n">
        <v>46193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46193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46193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</v>
      </c>
      <c r="C85" s="1" t="n">
        <v>46193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46193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46193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46193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</v>
      </c>
      <c r="C89" s="1" t="n">
        <v>46193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</v>
      </c>
      <c r="C90" s="1" t="n">
        <v>46193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19531-2023</t>
        </is>
      </c>
      <c r="B91" s="1" t="n">
        <v>45050</v>
      </c>
      <c r="C91" s="1" t="n">
        <v>46193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46193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5705-2025</t>
        </is>
      </c>
      <c r="B93" s="1" t="n">
        <v>45694</v>
      </c>
      <c r="C93" s="1" t="n">
        <v>46193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46193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46193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4673-2026</t>
        </is>
      </c>
      <c r="B96" s="1" t="n">
        <v>46048</v>
      </c>
      <c r="C96" s="1" t="n">
        <v>46193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</v>
      </c>
      <c r="C97" s="1" t="n">
        <v>46193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</v>
      </c>
      <c r="C98" s="1" t="n">
        <v>46193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46193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46193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</v>
      </c>
      <c r="C101" s="1" t="n">
        <v>46193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</v>
      </c>
      <c r="C102" s="1" t="n">
        <v>46193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12731-2026</t>
        </is>
      </c>
      <c r="B103" s="1" t="n">
        <v>46091</v>
      </c>
      <c r="C103" s="1" t="n">
        <v>46193</v>
      </c>
      <c r="D103" t="inlineStr">
        <is>
          <t>VÄSTRA GÖTALANDS LÄN</t>
        </is>
      </c>
      <c r="E103" t="inlineStr">
        <is>
          <t>KUNGÄLV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</v>
      </c>
      <c r="C104" s="1" t="n">
        <v>46193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22731-2026</t>
        </is>
      </c>
      <c r="B105" s="1" t="n">
        <v>46157</v>
      </c>
      <c r="C105" s="1" t="n">
        <v>46193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23607-2026</t>
        </is>
      </c>
      <c r="B106" s="1" t="n">
        <v>46163</v>
      </c>
      <c r="C106" s="1" t="n">
        <v>46193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46193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48312-2021</t>
        </is>
      </c>
      <c r="B108" s="1" t="n">
        <v>44450</v>
      </c>
      <c r="C108" s="1" t="n">
        <v>46193</v>
      </c>
      <c r="D108" t="inlineStr">
        <is>
          <t>VÄSTRA GÖTALANDS LÄN</t>
        </is>
      </c>
      <c r="E108" t="inlineStr">
        <is>
          <t>KUNGÄLV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47569-2025</t>
        </is>
      </c>
      <c r="B109" s="1" t="n">
        <v>45931</v>
      </c>
      <c r="C109" s="1" t="n">
        <v>46193</v>
      </c>
      <c r="D109" t="inlineStr">
        <is>
          <t>VÄSTRA GÖTALANDS LÄN</t>
        </is>
      </c>
      <c r="E109" t="inlineStr">
        <is>
          <t>KUNGÄLV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50071-2023</t>
        </is>
      </c>
      <c r="B110" s="1" t="n">
        <v>45215</v>
      </c>
      <c r="C110" s="1" t="n">
        <v>46193</v>
      </c>
      <c r="D110" t="inlineStr">
        <is>
          <t>VÄSTRA GÖTALANDS LÄN</t>
        </is>
      </c>
      <c r="E110" t="inlineStr">
        <is>
          <t>KUNGÄLV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2026-06-20T00:43:31Z</dcterms:created>
  <dcterms:modified xmlns:dcterms="http://purl.org/dc/terms/" xmlns:xsi="http://www.w3.org/2001/XMLSchema-instance" xsi:type="dcterms:W3CDTF">2026-06-20T00:43:31Z</dcterms:modified>
</cp:coreProperties>
</file>