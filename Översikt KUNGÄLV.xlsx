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46317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46317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46317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46317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46317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46317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46317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46317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46317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46317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46317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46317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46317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46317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46317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46317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46317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46317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46317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46317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46317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46317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21240-2023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46317</v>
      </c>
      <c r="F24" t="inlineStr">
        <is>
          <t>VÄSTRA GÖTALANDS LÄN</t>
        </is>
      </c>
      <c r="G24" t="inlineStr">
        <is>
          <t>KUNGÄLV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HYPERLINK("https://klasma.github.io/Logging_1482/artfynd/A 21240-2023 artfynd.xlsx", "A 21240-2023")</f>
        <v/>
      </c>
      <c r="X24">
        <f>HYPERLINK("https://klasma.github.io/Logging_1482/kartor/A 21240-2023 karta.png", "A 21240-2023")</f>
        <v/>
      </c>
      <c r="Y24">
        <f>HYPERLINK("https://klasma.github.io/Logging_1482/kartor_geotiff/A 21240-2023 georefererad karta.tif", "A 21240-2023")</f>
        <v/>
      </c>
      <c r="AA24">
        <f>HYPERLINK("https://klasma.github.io/Logging_1482/klagomål/A 21240-2023 FSC-klagomål.docx", "A 21240-2023")</f>
        <v/>
      </c>
      <c r="AB24">
        <f>HYPERLINK("https://klasma.github.io/Logging_1482/klagomålsmail/A 21240-2023 FSC-klagomål mail.docx", "A 21240-2023")</f>
        <v/>
      </c>
      <c r="AC24">
        <f>HYPERLINK("https://klasma.github.io/Logging_1482/tillsyn/A 21240-2023 tillsynsbegäran.docx", "A 21240-2023")</f>
        <v/>
      </c>
      <c r="AD24">
        <f>HYPERLINK("https://klasma.github.io/Logging_1482/tillsynsmail/A 21240-2023 tillsynsbegäran mail.docx", "A 21240-2023")</f>
        <v/>
      </c>
    </row>
    <row r="25" ht="15" customHeight="1">
      <c r="A25" t="inlineStr">
        <is>
          <t>A 23704-2024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45454</v>
      </c>
      <c r="E25" s="1" t="n">
        <v>46317</v>
      </c>
      <c r="F25" t="inlineStr">
        <is>
          <t>VÄSTRA GÖTALANDS LÄN</t>
        </is>
      </c>
      <c r="G25" t="inlineStr">
        <is>
          <t>KUNGÄLV</t>
        </is>
      </c>
      <c r="I25" t="n">
        <v>4.9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Hedjohannesört</t>
        </is>
      </c>
      <c r="W25">
        <f>HYPERLINK("https://klasma.github.io/Logging_1482/artfynd/A 23704-2024 artfynd.xlsx", "A 23704-2024")</f>
        <v/>
      </c>
      <c r="X25">
        <f>HYPERLINK("https://klasma.github.io/Logging_1482/kartor/A 23704-2024 karta.png", "A 23704-2024")</f>
        <v/>
      </c>
      <c r="Y25">
        <f>HYPERLINK("https://klasma.github.io/Logging_1482/kartor_geotiff/A 23704-2024 georefererad karta.tif", "A 23704-2024")</f>
        <v/>
      </c>
      <c r="AA25">
        <f>HYPERLINK("https://klasma.github.io/Logging_1482/klagomål/A 23704-2024 FSC-klagomål.docx", "A 23704-2024")</f>
        <v/>
      </c>
      <c r="AB25">
        <f>HYPERLINK("https://klasma.github.io/Logging_1482/klagomålsmail/A 23704-2024 FSC-klagomål mail.docx", "A 23704-2024")</f>
        <v/>
      </c>
      <c r="AC25">
        <f>HYPERLINK("https://klasma.github.io/Logging_1482/tillsyn/A 23704-2024 tillsynsbegäran.docx", "A 23704-2024")</f>
        <v/>
      </c>
      <c r="AD25">
        <f>HYPERLINK("https://klasma.github.io/Logging_1482/tillsynsmail/A 23704-2024 tillsynsbegäran mail.docx", "A 23704-2024")</f>
        <v/>
      </c>
    </row>
    <row r="26" ht="15" customHeight="1">
      <c r="A26" t="inlineStr">
        <is>
          <t>A 42407-2026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46307</v>
      </c>
      <c r="E26" s="1" t="n">
        <v>46317</v>
      </c>
      <c r="F26" t="inlineStr">
        <is>
          <t>VÄSTRA GÖTALANDS LÄN</t>
        </is>
      </c>
      <c r="G26" t="inlineStr">
        <is>
          <t>KUNGÄLV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Dunmossa</t>
        </is>
      </c>
      <c r="W26">
        <f>HYPERLINK("https://klasma.github.io/Logging_1482/artfynd/A 42407-2026 artfynd.xlsx", "A 42407-2026")</f>
        <v/>
      </c>
      <c r="X26">
        <f>HYPERLINK("https://klasma.github.io/Logging_1482/kartor/A 42407-2026 karta.png", "A 42407-2026")</f>
        <v/>
      </c>
      <c r="Y26">
        <f>HYPERLINK("https://klasma.github.io/Logging_1482/kartor_geotiff/A 42407-2026 georefererad karta.tif", "A 42407-2026")</f>
        <v/>
      </c>
      <c r="AA26">
        <f>HYPERLINK("https://klasma.github.io/Logging_1482/klagomål/A 42407-2026 FSC-klagomål.docx", "A 42407-2026")</f>
        <v/>
      </c>
      <c r="AB26">
        <f>HYPERLINK("https://klasma.github.io/Logging_1482/klagomålsmail/A 42407-2026 FSC-klagomål mail.docx", "A 42407-2026")</f>
        <v/>
      </c>
      <c r="AC26">
        <f>HYPERLINK("https://klasma.github.io/Logging_1482/tillsyn/A 42407-2026 tillsynsbegäran.docx", "A 42407-2026")</f>
        <v/>
      </c>
      <c r="AD26">
        <f>HYPERLINK("https://klasma.github.io/Logging_1482/tillsynsmail/A 42407-2026 tillsynsbegäran mail.docx", "A 42407-2026")</f>
        <v/>
      </c>
    </row>
    <row r="27" ht="15" customHeight="1">
      <c r="A27" t="inlineStr">
        <is>
          <t>A 19132-2022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46317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19133-2022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44691</v>
      </c>
      <c r="E28" s="1" t="n">
        <v>46317</v>
      </c>
      <c r="F28" t="inlineStr">
        <is>
          <t>VÄSTRA GÖTALANDS LÄN</t>
        </is>
      </c>
      <c r="G28" t="inlineStr">
        <is>
          <t>KUNGÄLV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46317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46317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46317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46317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45267</v>
      </c>
      <c r="E33" s="1" t="n">
        <v>46317</v>
      </c>
      <c r="F33" t="inlineStr">
        <is>
          <t>VÄSTRA GÖTALANDS LÄN</t>
        </is>
      </c>
      <c r="G33" t="inlineStr">
        <is>
          <t>KUNGÄLV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46317</v>
      </c>
      <c r="F34" t="inlineStr">
        <is>
          <t>VÄSTRA GÖTALANDS LÄN</t>
        </is>
      </c>
      <c r="G34" t="inlineStr">
        <is>
          <t>KUNGÄLV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30170-2022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44757</v>
      </c>
      <c r="E35" s="1" t="n">
        <v>46317</v>
      </c>
      <c r="F35" t="inlineStr">
        <is>
          <t>VÄSTRA GÖTALANDS LÄN</t>
        </is>
      </c>
      <c r="G35" t="inlineStr">
        <is>
          <t>KUNGÄLV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45391</v>
      </c>
      <c r="E36" s="1" t="n">
        <v>46317</v>
      </c>
      <c r="F36" t="inlineStr">
        <is>
          <t>VÄSTRA GÖTALANDS LÄN</t>
        </is>
      </c>
      <c r="G36" t="inlineStr">
        <is>
          <t>KUNGÄLV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45308</v>
      </c>
      <c r="E37" s="1" t="n">
        <v>46317</v>
      </c>
      <c r="F37" t="inlineStr">
        <is>
          <t>VÄSTRA GÖTALANDS LÄN</t>
        </is>
      </c>
      <c r="G37" t="inlineStr">
        <is>
          <t>KUNGÄLV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45990-2022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46317</v>
      </c>
      <c r="F38" t="inlineStr">
        <is>
          <t>VÄSTRA GÖTALANDS LÄN</t>
        </is>
      </c>
      <c r="G38" t="inlineStr">
        <is>
          <t>KUNGÄLV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45721</v>
      </c>
      <c r="E39" s="1" t="n">
        <v>46317</v>
      </c>
      <c r="F39" t="inlineStr">
        <is>
          <t>VÄSTRA GÖTALANDS LÄN</t>
        </is>
      </c>
      <c r="G39" t="inlineStr">
        <is>
          <t>KUNGÄLV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45726</v>
      </c>
      <c r="E40" s="1" t="n">
        <v>46317</v>
      </c>
      <c r="F40" t="inlineStr">
        <is>
          <t>VÄSTRA GÖTALANDS LÄN</t>
        </is>
      </c>
      <c r="G40" t="inlineStr">
        <is>
          <t>KUNGÄLV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46317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45721</v>
      </c>
      <c r="E42" s="1" t="n">
        <v>46317</v>
      </c>
      <c r="F42" t="inlineStr">
        <is>
          <t>VÄSTRA GÖTALANDS LÄN</t>
        </is>
      </c>
      <c r="G42" t="inlineStr">
        <is>
          <t>KUNGÄLV</t>
        </is>
      </c>
      <c r="I42" t="n">
        <v>7.4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74285-2021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44558</v>
      </c>
      <c r="E43" s="1" t="n">
        <v>46317</v>
      </c>
      <c r="F43" t="inlineStr">
        <is>
          <t>VÄSTRA GÖTALANDS LÄN</t>
        </is>
      </c>
      <c r="G43" t="inlineStr">
        <is>
          <t>KUNGÄLV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46317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61417-2022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44916</v>
      </c>
      <c r="E45" s="1" t="n">
        <v>46317</v>
      </c>
      <c r="F45" t="inlineStr">
        <is>
          <t>VÄSTRA GÖTALANDS LÄN</t>
        </is>
      </c>
      <c r="G45" t="inlineStr">
        <is>
          <t>KUNGÄLV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45120</v>
      </c>
      <c r="E46" s="1" t="n">
        <v>46317</v>
      </c>
      <c r="F46" t="inlineStr">
        <is>
          <t>VÄSTRA GÖTALANDS LÄN</t>
        </is>
      </c>
      <c r="G46" t="inlineStr">
        <is>
          <t>KUNGÄLV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43520-2022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44837</v>
      </c>
      <c r="E47" s="1" t="n">
        <v>46317</v>
      </c>
      <c r="F47" t="inlineStr">
        <is>
          <t>VÄSTRA GÖTALANDS LÄN</t>
        </is>
      </c>
      <c r="G47" t="inlineStr">
        <is>
          <t>KUNGÄLV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32847-2023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45124</v>
      </c>
      <c r="E48" s="1" t="n">
        <v>46317</v>
      </c>
      <c r="F48" t="inlineStr">
        <is>
          <t>VÄSTRA GÖTALANDS LÄN</t>
        </is>
      </c>
      <c r="G48" t="inlineStr">
        <is>
          <t>KUNGÄLV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46317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29223-2024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45482</v>
      </c>
      <c r="E50" s="1" t="n">
        <v>46317</v>
      </c>
      <c r="F50" t="inlineStr">
        <is>
          <t>VÄSTRA GÖTALANDS LÄN</t>
        </is>
      </c>
      <c r="G50" t="inlineStr">
        <is>
          <t>KUNGÄLV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46317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25624-2025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45803</v>
      </c>
      <c r="E52" s="1" t="n">
        <v>46317</v>
      </c>
      <c r="F52" t="inlineStr">
        <is>
          <t>VÄSTRA GÖTALANDS LÄN</t>
        </is>
      </c>
      <c r="G52" t="inlineStr">
        <is>
          <t>KUNGÄLV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44975</v>
      </c>
      <c r="E53" s="1" t="n">
        <v>46317</v>
      </c>
      <c r="F53" t="inlineStr">
        <is>
          <t>VÄSTRA GÖTALANDS LÄN</t>
        </is>
      </c>
      <c r="G53" t="inlineStr">
        <is>
          <t>KUNGÄLV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41442-2025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45869</v>
      </c>
      <c r="E54" s="1" t="n">
        <v>46317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46317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34366-2022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44792</v>
      </c>
      <c r="E56" s="1" t="n">
        <v>46317</v>
      </c>
      <c r="F56" t="inlineStr">
        <is>
          <t>VÄSTRA GÖTALANDS LÄN</t>
        </is>
      </c>
      <c r="G56" t="inlineStr">
        <is>
          <t>KUNGÄLV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46048</v>
      </c>
      <c r="E57" s="1" t="n">
        <v>46317</v>
      </c>
      <c r="F57" t="inlineStr">
        <is>
          <t>VÄSTRA GÖTALANDS LÄN</t>
        </is>
      </c>
      <c r="G57" t="inlineStr">
        <is>
          <t>KUNGÄLV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45324</v>
      </c>
      <c r="E58" s="1" t="n">
        <v>46317</v>
      </c>
      <c r="F58" t="inlineStr">
        <is>
          <t>VÄSTRA GÖTALANDS LÄN</t>
        </is>
      </c>
      <c r="G58" t="inlineStr">
        <is>
          <t>KUNGÄLV</t>
        </is>
      </c>
      <c r="I58" t="n">
        <v>14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46317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6946-2026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46057</v>
      </c>
      <c r="E60" s="1" t="n">
        <v>46317</v>
      </c>
      <c r="F60" t="inlineStr">
        <is>
          <t>VÄSTRA GÖTALANDS LÄN</t>
        </is>
      </c>
      <c r="G60" t="inlineStr">
        <is>
          <t>KUNGÄLV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45877</v>
      </c>
      <c r="E61" s="1" t="n">
        <v>46317</v>
      </c>
      <c r="F61" t="inlineStr">
        <is>
          <t>VÄSTRA GÖTALANDS LÄN</t>
        </is>
      </c>
      <c r="G61" t="inlineStr">
        <is>
          <t>KUNGÄLV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13990-2026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46317</v>
      </c>
      <c r="F62" t="inlineStr">
        <is>
          <t>VÄSTRA GÖTALANDS LÄN</t>
        </is>
      </c>
      <c r="G62" t="inlineStr">
        <is>
          <t>KUNGÄLV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45082</v>
      </c>
      <c r="E63" s="1" t="n">
        <v>46317</v>
      </c>
      <c r="F63" t="inlineStr">
        <is>
          <t>VÄSTRA GÖTALANDS LÄN</t>
        </is>
      </c>
      <c r="G63" t="inlineStr">
        <is>
          <t>KUNGÄLV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44928</v>
      </c>
      <c r="E64" s="1" t="n">
        <v>46317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46317</v>
      </c>
      <c r="F65" t="inlineStr">
        <is>
          <t>VÄSTRA GÖTALANDS LÄN</t>
        </is>
      </c>
      <c r="G65" t="inlineStr">
        <is>
          <t>KUNGÄLV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49985-2023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46317</v>
      </c>
      <c r="F66" t="inlineStr">
        <is>
          <t>VÄSTRA GÖTALANDS LÄN</t>
        </is>
      </c>
      <c r="G66" t="inlineStr">
        <is>
          <t>KUNGÄLV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45347</v>
      </c>
      <c r="E67" s="1" t="n">
        <v>46317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46317</v>
      </c>
      <c r="F68" t="inlineStr">
        <is>
          <t>VÄSTRA GÖTALANDS LÄN</t>
        </is>
      </c>
      <c r="G68" t="inlineStr">
        <is>
          <t>KUNGÄLV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46317</v>
      </c>
      <c r="F69" t="inlineStr">
        <is>
          <t>VÄSTRA GÖTALANDS LÄN</t>
        </is>
      </c>
      <c r="G69" t="inlineStr">
        <is>
          <t>KUNGÄLV</t>
        </is>
      </c>
      <c r="I69" t="n">
        <v>13.3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46317</v>
      </c>
      <c r="F70" t="inlineStr">
        <is>
          <t>VÄSTRA GÖTALANDS LÄN</t>
        </is>
      </c>
      <c r="G70" t="inlineStr">
        <is>
          <t>KUNGÄLV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19531-2023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46317</v>
      </c>
      <c r="F71" t="inlineStr">
        <is>
          <t>VÄSTRA GÖTALANDS LÄN</t>
        </is>
      </c>
      <c r="G71" t="inlineStr">
        <is>
          <t>KUNGÄLV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22731-2026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46157</v>
      </c>
      <c r="E72" s="1" t="n">
        <v>46317</v>
      </c>
      <c r="F72" t="inlineStr">
        <is>
          <t>VÄSTRA GÖTALANDS LÄN</t>
        </is>
      </c>
      <c r="G72" t="inlineStr">
        <is>
          <t>KUNGÄLV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45837</v>
      </c>
      <c r="E73" s="1" t="n">
        <v>46317</v>
      </c>
      <c r="F73" t="inlineStr">
        <is>
          <t>VÄSTRA GÖTALANDS LÄN</t>
        </is>
      </c>
      <c r="G73" t="inlineStr">
        <is>
          <t>KUNGÄLV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45694</v>
      </c>
      <c r="E74" s="1" t="n">
        <v>46317</v>
      </c>
      <c r="F74" t="inlineStr">
        <is>
          <t>VÄSTRA GÖTALANDS LÄN</t>
        </is>
      </c>
      <c r="G74" t="inlineStr">
        <is>
          <t>KUNGÄLV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46163</v>
      </c>
      <c r="E75" s="1" t="n">
        <v>46317</v>
      </c>
      <c r="F75" t="inlineStr">
        <is>
          <t>VÄSTRA GÖTALANDS LÄN</t>
        </is>
      </c>
      <c r="G75" t="inlineStr">
        <is>
          <t>KUNGÄLV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62979-2023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45271</v>
      </c>
      <c r="E76" s="1" t="n">
        <v>46317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25135-2025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46317</v>
      </c>
      <c r="F77" t="inlineStr">
        <is>
          <t>VÄSTRA GÖTALANDS LÄN</t>
        </is>
      </c>
      <c r="G77" t="inlineStr">
        <is>
          <t>KUNGÄLV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45751</v>
      </c>
      <c r="E78" s="1" t="n">
        <v>46317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29801-2022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44755</v>
      </c>
      <c r="E79" s="1" t="n">
        <v>46317</v>
      </c>
      <c r="F79" t="inlineStr">
        <is>
          <t>VÄSTRA GÖTALANDS LÄN</t>
        </is>
      </c>
      <c r="G79" t="inlineStr">
        <is>
          <t>KUNGÄLV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46317</v>
      </c>
      <c r="F80" t="inlineStr">
        <is>
          <t>VÄSTRA GÖTALANDS LÄN</t>
        </is>
      </c>
      <c r="G80" t="inlineStr">
        <is>
          <t>KUNGÄLV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44543</v>
      </c>
      <c r="E81" s="1" t="n">
        <v>46317</v>
      </c>
      <c r="F81" t="inlineStr">
        <is>
          <t>VÄSTRA GÖTALANDS LÄN</t>
        </is>
      </c>
      <c r="G81" t="inlineStr">
        <is>
          <t>KUNGÄLV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29952-2026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46317</v>
      </c>
      <c r="F82" t="inlineStr">
        <is>
          <t>VÄSTRA GÖTALANDS LÄN</t>
        </is>
      </c>
      <c r="G82" t="inlineStr">
        <is>
          <t>KUNGÄLV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46211</v>
      </c>
      <c r="E83" s="1" t="n">
        <v>46317</v>
      </c>
      <c r="F83" t="inlineStr">
        <is>
          <t>VÄSTRA GÖTALANDS LÄN</t>
        </is>
      </c>
      <c r="G83" t="inlineStr">
        <is>
          <t>KUNGÄLV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46212</v>
      </c>
      <c r="E84" s="1" t="n">
        <v>46317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56782-2022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44894</v>
      </c>
      <c r="E85" s="1" t="n">
        <v>46317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45470</v>
      </c>
      <c r="E86" s="1" t="n">
        <v>46317</v>
      </c>
      <c r="F86" t="inlineStr">
        <is>
          <t>VÄSTRA GÖTALANDS LÄN</t>
        </is>
      </c>
      <c r="G86" t="inlineStr">
        <is>
          <t>KUNGÄLV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46281</v>
      </c>
      <c r="E87" s="1" t="n">
        <v>46317</v>
      </c>
      <c r="F87" t="inlineStr">
        <is>
          <t>VÄSTRA GÖTALANDS LÄN</t>
        </is>
      </c>
      <c r="G87" t="inlineStr">
        <is>
          <t>KUNGÄLV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44989</v>
      </c>
      <c r="E88" s="1" t="n">
        <v>46317</v>
      </c>
      <c r="F88" t="inlineStr">
        <is>
          <t>VÄSTRA GÖTALANDS LÄN</t>
        </is>
      </c>
      <c r="G88" t="inlineStr">
        <is>
          <t>KUNGÄLV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62128-2021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46317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46317</v>
      </c>
      <c r="F90" t="inlineStr">
        <is>
          <t>VÄSTRA GÖTALANDS LÄN</t>
        </is>
      </c>
      <c r="G90" t="inlineStr">
        <is>
          <t>KUNGÄLV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45063</v>
      </c>
      <c r="E91" s="1" t="n">
        <v>46317</v>
      </c>
      <c r="F91" t="inlineStr">
        <is>
          <t>VÄSTRA GÖTALANDS LÄN</t>
        </is>
      </c>
      <c r="G91" t="inlineStr">
        <is>
          <t>KUNGÄLV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45188</v>
      </c>
      <c r="E92" s="1" t="n">
        <v>46317</v>
      </c>
      <c r="F92" t="inlineStr">
        <is>
          <t>VÄSTRA GÖTALANDS LÄN</t>
        </is>
      </c>
      <c r="G92" t="inlineStr">
        <is>
          <t>KUNGÄLV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46317</v>
      </c>
      <c r="F93" t="inlineStr">
        <is>
          <t>VÄSTRA GÖTALANDS LÄN</t>
        </is>
      </c>
      <c r="G93" t="inlineStr">
        <is>
          <t>KUNGÄLV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45552</v>
      </c>
      <c r="E94" s="1" t="n">
        <v>46317</v>
      </c>
      <c r="F94" t="inlineStr">
        <is>
          <t>VÄSTRA GÖTALANDS LÄN</t>
        </is>
      </c>
      <c r="G94" t="inlineStr">
        <is>
          <t>KUNGÄLV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45426</v>
      </c>
      <c r="E95" s="1" t="n">
        <v>46317</v>
      </c>
      <c r="F95" t="inlineStr">
        <is>
          <t>VÄSTRA GÖTALANDS LÄN</t>
        </is>
      </c>
      <c r="G95" t="inlineStr">
        <is>
          <t>KUNGÄLV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45222</v>
      </c>
      <c r="E96" s="1" t="n">
        <v>46317</v>
      </c>
      <c r="F96" t="inlineStr">
        <is>
          <t>VÄSTRA GÖTALANDS LÄN</t>
        </is>
      </c>
      <c r="G96" t="inlineStr">
        <is>
          <t>KUNGÄLV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46317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46317</v>
      </c>
      <c r="F98" t="inlineStr">
        <is>
          <t>VÄSTRA GÖTALANDS LÄN</t>
        </is>
      </c>
      <c r="G98" t="inlineStr">
        <is>
          <t>KUNGÄLV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46317</v>
      </c>
      <c r="F99" t="inlineStr">
        <is>
          <t>VÄSTRA GÖTALANDS LÄN</t>
        </is>
      </c>
      <c r="G99" t="inlineStr">
        <is>
          <t>KUNGÄLV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46317</v>
      </c>
      <c r="F100" t="inlineStr">
        <is>
          <t>VÄSTRA GÖTALANDS LÄN</t>
        </is>
      </c>
      <c r="G100" t="inlineStr">
        <is>
          <t>KUNGÄLV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46302</v>
      </c>
      <c r="E101" s="1" t="n">
        <v>46317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43193-2026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46313</v>
      </c>
      <c r="E102" s="1" t="n">
        <v>46317</v>
      </c>
      <c r="F102" t="inlineStr">
        <is>
          <t>VÄSTRA GÖTALANDS LÄN</t>
        </is>
      </c>
      <c r="G102" t="inlineStr">
        <is>
          <t>KUNGÄLV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43191-2026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46313</v>
      </c>
      <c r="E103" s="1" t="n">
        <v>46317</v>
      </c>
      <c r="F103" t="inlineStr">
        <is>
          <t>VÄSTRA GÖTALANDS LÄN</t>
        </is>
      </c>
      <c r="G103" t="inlineStr">
        <is>
          <t>KUNGÄLV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34244-2025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45844</v>
      </c>
      <c r="E104" s="1" t="n">
        <v>46317</v>
      </c>
      <c r="F104" t="inlineStr">
        <is>
          <t>VÄSTRA GÖTALANDS LÄN</t>
        </is>
      </c>
      <c r="G104" t="inlineStr">
        <is>
          <t>KUNGÄLV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46317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2026-10-22T01:55:10Z</dcterms:created>
  <dcterms:modified xmlns:dcterms="http://purl.org/dc/terms/" xmlns:xsi="http://www.w3.org/2001/XMLSchema-instance" xsi:type="dcterms:W3CDTF">2026-10-22T01:55:10Z</dcterms:modified>
</cp:coreProperties>
</file>