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46120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46120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46120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46120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46120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46120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46120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46120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46120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46120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46120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46120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46120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46120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6082-2025</t>
        </is>
      </c>
      <c r="B17" s="1" t="n">
        <v>45697</v>
      </c>
      <c r="C17" s="1" t="n">
        <v>46120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6082-2025 artfynd.xlsx", "A 6082-2025")</f>
        <v/>
      </c>
      <c r="T17">
        <f>HYPERLINK("https://klasma.github.io/Logging_1482/kartor/A 6082-2025 karta.png", "A 6082-2025")</f>
        <v/>
      </c>
      <c r="V17">
        <f>HYPERLINK("https://klasma.github.io/Logging_1482/klagomål/A 6082-2025 FSC-klagomål.docx", "A 6082-2025")</f>
        <v/>
      </c>
      <c r="W17">
        <f>HYPERLINK("https://klasma.github.io/Logging_1482/klagomålsmail/A 6082-2025 FSC-klagomål mail.docx", "A 6082-2025")</f>
        <v/>
      </c>
      <c r="X17">
        <f>HYPERLINK("https://klasma.github.io/Logging_1482/tillsyn/A 6082-2025 tillsynsbegäran.docx", "A 6082-2025")</f>
        <v/>
      </c>
      <c r="Y17">
        <f>HYPERLINK("https://klasma.github.io/Logging_1482/tillsynsmail/A 6082-2025 tillsynsbegäran mail.docx", "A 6082-2025")</f>
        <v/>
      </c>
      <c r="Z17">
        <f>HYPERLINK("https://klasma.github.io/Logging_1482/fåglar/A 6082-2025 prioriterade fågelarter.docx", "A 6082-2025")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46120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46120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46120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46120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46120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46120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46120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46120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46120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46120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46120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46120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46120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46120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46120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46120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46120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46120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46120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46120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46120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46120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46120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46120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46120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46120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43520-2022</t>
        </is>
      </c>
      <c r="B44" s="1" t="n">
        <v>44837.37417824074</v>
      </c>
      <c r="C44" s="1" t="n">
        <v>46120</v>
      </c>
      <c r="D44" t="inlineStr">
        <is>
          <t>VÄSTRA GÖTALANDS LÄN</t>
        </is>
      </c>
      <c r="E44" t="inlineStr">
        <is>
          <t>KUNGÄLV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46120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46120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34366-2022</t>
        </is>
      </c>
      <c r="B47" s="1" t="n">
        <v>44792</v>
      </c>
      <c r="C47" s="1" t="n">
        <v>46120</v>
      </c>
      <c r="D47" t="inlineStr">
        <is>
          <t>VÄSTRA GÖTALANDS LÄN</t>
        </is>
      </c>
      <c r="E47" t="inlineStr">
        <is>
          <t>KUNGÄLV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46120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8334-2023</t>
        </is>
      </c>
      <c r="B49" s="1" t="n">
        <v>44975</v>
      </c>
      <c r="C49" s="1" t="n">
        <v>46120</v>
      </c>
      <c r="D49" t="inlineStr">
        <is>
          <t>VÄSTRA GÖTALANDS LÄN</t>
        </is>
      </c>
      <c r="E49" t="inlineStr">
        <is>
          <t>KUNGÄLV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4673-2026</t>
        </is>
      </c>
      <c r="B50" s="1" t="n">
        <v>46048.42462962963</v>
      </c>
      <c r="C50" s="1" t="n">
        <v>46120</v>
      </c>
      <c r="D50" t="inlineStr">
        <is>
          <t>VÄSTRA GÖTALANDS LÄN</t>
        </is>
      </c>
      <c r="E50" t="inlineStr">
        <is>
          <t>KUNGÄLV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61417-2022</t>
        </is>
      </c>
      <c r="B51" s="1" t="n">
        <v>44916.35082175926</v>
      </c>
      <c r="C51" s="1" t="n">
        <v>46120</v>
      </c>
      <c r="D51" t="inlineStr">
        <is>
          <t>VÄSTRA GÖTALANDS LÄN</t>
        </is>
      </c>
      <c r="E51" t="inlineStr">
        <is>
          <t>KUNGÄLV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46120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12731-2026</t>
        </is>
      </c>
      <c r="B53" s="1" t="n">
        <v>46091.63040509259</v>
      </c>
      <c r="C53" s="1" t="n">
        <v>46120</v>
      </c>
      <c r="D53" t="inlineStr">
        <is>
          <t>VÄSTRA GÖTALANDS LÄN</t>
        </is>
      </c>
      <c r="E53" t="inlineStr">
        <is>
          <t>KUNGÄLV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5655-2026</t>
        </is>
      </c>
      <c r="B54" s="1" t="n">
        <v>46051.44604166667</v>
      </c>
      <c r="C54" s="1" t="n">
        <v>46120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46120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46120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6954-2026</t>
        </is>
      </c>
      <c r="B57" s="1" t="n">
        <v>46056</v>
      </c>
      <c r="C57" s="1" t="n">
        <v>46120</v>
      </c>
      <c r="D57" t="inlineStr">
        <is>
          <t>VÄSTRA GÖTALANDS LÄN</t>
        </is>
      </c>
      <c r="E57" t="inlineStr">
        <is>
          <t>KUNGÄLV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55830-2024</t>
        </is>
      </c>
      <c r="B58" s="1" t="n">
        <v>45623.48478009259</v>
      </c>
      <c r="C58" s="1" t="n">
        <v>46120</v>
      </c>
      <c r="D58" t="inlineStr">
        <is>
          <t>VÄSTRA GÖTALANDS LÄN</t>
        </is>
      </c>
      <c r="E58" t="inlineStr">
        <is>
          <t>KUNGÄLV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13990-2026</t>
        </is>
      </c>
      <c r="B59" s="1" t="n">
        <v>46098.61854166666</v>
      </c>
      <c r="C59" s="1" t="n">
        <v>46120</v>
      </c>
      <c r="D59" t="inlineStr">
        <is>
          <t>VÄSTRA GÖTALANDS LÄN</t>
        </is>
      </c>
      <c r="E59" t="inlineStr">
        <is>
          <t>KUNGÄLV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6954-2026</t>
        </is>
      </c>
      <c r="B60" s="1" t="n">
        <v>46056</v>
      </c>
      <c r="C60" s="1" t="n">
        <v>46120</v>
      </c>
      <c r="D60" t="inlineStr">
        <is>
          <t>VÄSTRA GÖTALANDS LÄN</t>
        </is>
      </c>
      <c r="E60" t="inlineStr">
        <is>
          <t>KUNGÄLV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4262-2024</t>
        </is>
      </c>
      <c r="B61" s="1" t="n">
        <v>45324.50902777778</v>
      </c>
      <c r="C61" s="1" t="n">
        <v>46120</v>
      </c>
      <c r="D61" t="inlineStr">
        <is>
          <t>VÄSTRA GÖTALANDS LÄN</t>
        </is>
      </c>
      <c r="E61" t="inlineStr">
        <is>
          <t>KUNGÄLV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46120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6946-2026</t>
        </is>
      </c>
      <c r="B63" s="1" t="n">
        <v>46057</v>
      </c>
      <c r="C63" s="1" t="n">
        <v>46120</v>
      </c>
      <c r="D63" t="inlineStr">
        <is>
          <t>VÄSTRA GÖTALANDS LÄN</t>
        </is>
      </c>
      <c r="E63" t="inlineStr">
        <is>
          <t>KUNGÄLV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46120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46120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46120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661-2025</t>
        </is>
      </c>
      <c r="B67" s="1" t="n">
        <v>45664.68572916667</v>
      </c>
      <c r="C67" s="1" t="n">
        <v>46120</v>
      </c>
      <c r="D67" t="inlineStr">
        <is>
          <t>VÄSTRA GÖTALANDS LÄN</t>
        </is>
      </c>
      <c r="E67" t="inlineStr">
        <is>
          <t>KUNGÄLV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43207-2025</t>
        </is>
      </c>
      <c r="B68" s="1" t="n">
        <v>45910.45111111111</v>
      </c>
      <c r="C68" s="1" t="n">
        <v>46120</v>
      </c>
      <c r="D68" t="inlineStr">
        <is>
          <t>VÄSTRA GÖTALANDS LÄN</t>
        </is>
      </c>
      <c r="E68" t="inlineStr">
        <is>
          <t>KUNGÄLV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46120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46120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46120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56394-2025</t>
        </is>
      </c>
      <c r="B72" s="1" t="n">
        <v>45974.74313657408</v>
      </c>
      <c r="C72" s="1" t="n">
        <v>46120</v>
      </c>
      <c r="D72" t="inlineStr">
        <is>
          <t>VÄSTRA GÖTALANDS LÄN</t>
        </is>
      </c>
      <c r="E72" t="inlineStr">
        <is>
          <t>KUNGÄLV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143-2023</t>
        </is>
      </c>
      <c r="B73" s="1" t="n">
        <v>44928.53378472223</v>
      </c>
      <c r="C73" s="1" t="n">
        <v>46120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58408-2025</t>
        </is>
      </c>
      <c r="B74" s="1" t="n">
        <v>45985.56969907408</v>
      </c>
      <c r="C74" s="1" t="n">
        <v>46120</v>
      </c>
      <c r="D74" t="inlineStr">
        <is>
          <t>VÄSTRA GÖTALANDS LÄN</t>
        </is>
      </c>
      <c r="E74" t="inlineStr">
        <is>
          <t>KUNGÄLV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63319-2021</t>
        </is>
      </c>
      <c r="B75" s="1" t="n">
        <v>44508.45226851852</v>
      </c>
      <c r="C75" s="1" t="n">
        <v>46120</v>
      </c>
      <c r="D75" t="inlineStr">
        <is>
          <t>VÄSTRA GÖTALANDS LÄN</t>
        </is>
      </c>
      <c r="E75" t="inlineStr">
        <is>
          <t>KUNGÄLV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25135-2025</t>
        </is>
      </c>
      <c r="B76" s="1" t="n">
        <v>45798</v>
      </c>
      <c r="C76" s="1" t="n">
        <v>46120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32392-2025</t>
        </is>
      </c>
      <c r="B77" s="1" t="n">
        <v>45837.9102199074</v>
      </c>
      <c r="C77" s="1" t="n">
        <v>46120</v>
      </c>
      <c r="D77" t="inlineStr">
        <is>
          <t>VÄSTRA GÖTALANDS LÄN</t>
        </is>
      </c>
      <c r="E77" t="inlineStr">
        <is>
          <t>KUNGÄLV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32391-2025</t>
        </is>
      </c>
      <c r="B78" s="1" t="n">
        <v>45837.90662037037</v>
      </c>
      <c r="C78" s="1" t="n">
        <v>46120</v>
      </c>
      <c r="D78" t="inlineStr">
        <is>
          <t>VÄSTRA GÖTALANDS LÄN</t>
        </is>
      </c>
      <c r="E78" t="inlineStr">
        <is>
          <t>KUNGÄLV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7505-2024</t>
        </is>
      </c>
      <c r="B79" s="1" t="n">
        <v>45347.93181712963</v>
      </c>
      <c r="C79" s="1" t="n">
        <v>46120</v>
      </c>
      <c r="D79" t="inlineStr">
        <is>
          <t>VÄSTRA GÖTALANDS LÄN</t>
        </is>
      </c>
      <c r="E79" t="inlineStr">
        <is>
          <t>KUNGÄLV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46120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33493-2021</t>
        </is>
      </c>
      <c r="B81" s="1" t="n">
        <v>44377</v>
      </c>
      <c r="C81" s="1" t="n">
        <v>46120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34250-2025</t>
        </is>
      </c>
      <c r="B82" s="1" t="n">
        <v>45844</v>
      </c>
      <c r="C82" s="1" t="n">
        <v>46120</v>
      </c>
      <c r="D82" t="inlineStr">
        <is>
          <t>VÄSTRA GÖTALANDS LÄN</t>
        </is>
      </c>
      <c r="E82" t="inlineStr">
        <is>
          <t>KUNGÄLV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27463-2024</t>
        </is>
      </c>
      <c r="B83" s="1" t="n">
        <v>45474.45266203704</v>
      </c>
      <c r="C83" s="1" t="n">
        <v>46120</v>
      </c>
      <c r="D83" t="inlineStr">
        <is>
          <t>VÄSTRA GÖTALANDS LÄN</t>
        </is>
      </c>
      <c r="E83" t="inlineStr">
        <is>
          <t>KUNGÄLV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34244-2025</t>
        </is>
      </c>
      <c r="B84" s="1" t="n">
        <v>45844</v>
      </c>
      <c r="C84" s="1" t="n">
        <v>46120</v>
      </c>
      <c r="D84" t="inlineStr">
        <is>
          <t>VÄSTRA GÖTALANDS LÄN</t>
        </is>
      </c>
      <c r="E84" t="inlineStr">
        <is>
          <t>KUNGÄLV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46120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17451-2025</t>
        </is>
      </c>
      <c r="B86" s="1" t="n">
        <v>45757.44825231482</v>
      </c>
      <c r="C86" s="1" t="n">
        <v>46120</v>
      </c>
      <c r="D86" t="inlineStr">
        <is>
          <t>VÄSTRA GÖTALANDS LÄN</t>
        </is>
      </c>
      <c r="E86" t="inlineStr">
        <is>
          <t>KUNGÄLV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17455-2025</t>
        </is>
      </c>
      <c r="B87" s="1" t="n">
        <v>45757.45109953704</v>
      </c>
      <c r="C87" s="1" t="n">
        <v>46120</v>
      </c>
      <c r="D87" t="inlineStr">
        <is>
          <t>VÄSTRA GÖTALANDS LÄN</t>
        </is>
      </c>
      <c r="E87" t="inlineStr">
        <is>
          <t>KUNGÄLV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25624-2025</t>
        </is>
      </c>
      <c r="B88" s="1" t="n">
        <v>45803.57885416667</v>
      </c>
      <c r="C88" s="1" t="n">
        <v>46120</v>
      </c>
      <c r="D88" t="inlineStr">
        <is>
          <t>VÄSTRA GÖTALANDS LÄN</t>
        </is>
      </c>
      <c r="E88" t="inlineStr">
        <is>
          <t>KUNGÄLV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36055-2025</t>
        </is>
      </c>
      <c r="B89" s="1" t="n">
        <v>45866</v>
      </c>
      <c r="C89" s="1" t="n">
        <v>46120</v>
      </c>
      <c r="D89" t="inlineStr">
        <is>
          <t>VÄSTRA GÖTALANDS LÄN</t>
        </is>
      </c>
      <c r="E89" t="inlineStr">
        <is>
          <t>KUNGÄLV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6096-2025</t>
        </is>
      </c>
      <c r="B90" s="1" t="n">
        <v>45697</v>
      </c>
      <c r="C90" s="1" t="n">
        <v>46120</v>
      </c>
      <c r="D90" t="inlineStr">
        <is>
          <t>VÄSTRA GÖTALANDS LÄN</t>
        </is>
      </c>
      <c r="E90" t="inlineStr">
        <is>
          <t>KUNGÄLV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41442-2025</t>
        </is>
      </c>
      <c r="B91" s="1" t="n">
        <v>45869</v>
      </c>
      <c r="C91" s="1" t="n">
        <v>46120</v>
      </c>
      <c r="D91" t="inlineStr">
        <is>
          <t>VÄSTRA GÖTALANDS LÄN</t>
        </is>
      </c>
      <c r="E91" t="inlineStr">
        <is>
          <t>KUNGÄLV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19531-2023</t>
        </is>
      </c>
      <c r="B92" s="1" t="n">
        <v>45050.54896990741</v>
      </c>
      <c r="C92" s="1" t="n">
        <v>46120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4263-2024</t>
        </is>
      </c>
      <c r="B93" s="1" t="n">
        <v>45324.51049768519</v>
      </c>
      <c r="C93" s="1" t="n">
        <v>46120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37443-2025</t>
        </is>
      </c>
      <c r="B94" s="1" t="n">
        <v>45877.54152777778</v>
      </c>
      <c r="C94" s="1" t="n">
        <v>46120</v>
      </c>
      <c r="D94" t="inlineStr">
        <is>
          <t>VÄSTRA GÖTALANDS LÄN</t>
        </is>
      </c>
      <c r="E94" t="inlineStr">
        <is>
          <t>KUNGÄLV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5705-2025</t>
        </is>
      </c>
      <c r="B95" s="1" t="n">
        <v>45694</v>
      </c>
      <c r="C95" s="1" t="n">
        <v>46120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46120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46120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29801-2022</t>
        </is>
      </c>
      <c r="B98" s="1" t="n">
        <v>44755.70518518519</v>
      </c>
      <c r="C98" s="1" t="n">
        <v>46120</v>
      </c>
      <c r="D98" t="inlineStr">
        <is>
          <t>VÄSTRA GÖTALANDS LÄN</t>
        </is>
      </c>
      <c r="E98" t="inlineStr">
        <is>
          <t>KUNGÄLV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49981-2023</t>
        </is>
      </c>
      <c r="B99" s="1" t="n">
        <v>45215</v>
      </c>
      <c r="C99" s="1" t="n">
        <v>46120</v>
      </c>
      <c r="D99" t="inlineStr">
        <is>
          <t>VÄSTRA GÖTALANDS LÄN</t>
        </is>
      </c>
      <c r="E99" t="inlineStr">
        <is>
          <t>KUNGÄLV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71835-2021</t>
        </is>
      </c>
      <c r="B100" s="1" t="n">
        <v>44543.62230324074</v>
      </c>
      <c r="C100" s="1" t="n">
        <v>46120</v>
      </c>
      <c r="D100" t="inlineStr">
        <is>
          <t>VÄSTRA GÖTALANDS LÄN</t>
        </is>
      </c>
      <c r="E100" t="inlineStr">
        <is>
          <t>KUNGÄLV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21883-2021</t>
        </is>
      </c>
      <c r="B101" s="1" t="n">
        <v>44322</v>
      </c>
      <c r="C101" s="1" t="n">
        <v>46120</v>
      </c>
      <c r="D101" t="inlineStr">
        <is>
          <t>VÄSTRA GÖTALANDS LÄN</t>
        </is>
      </c>
      <c r="E101" t="inlineStr">
        <is>
          <t>KUNGÄLV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44894.39475694444</v>
      </c>
      <c r="C102" s="1" t="n">
        <v>46120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46120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10810-2023</t>
        </is>
      </c>
      <c r="B104" s="1" t="n">
        <v>44989.75795138889</v>
      </c>
      <c r="C104" s="1" t="n">
        <v>46120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62128-2021</t>
        </is>
      </c>
      <c r="B105" s="1" t="n">
        <v>44502</v>
      </c>
      <c r="C105" s="1" t="n">
        <v>46120</v>
      </c>
      <c r="D105" t="inlineStr">
        <is>
          <t>VÄSTRA GÖTALANDS LÄN</t>
        </is>
      </c>
      <c r="E105" t="inlineStr">
        <is>
          <t>KUNGÄLV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21240-2023</t>
        </is>
      </c>
      <c r="B106" s="1" t="n">
        <v>45058</v>
      </c>
      <c r="C106" s="1" t="n">
        <v>46120</v>
      </c>
      <c r="D106" t="inlineStr">
        <is>
          <t>VÄSTRA GÖTALANDS LÄN</t>
        </is>
      </c>
      <c r="E106" t="inlineStr">
        <is>
          <t>KUNGÄLV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18851-2024</t>
        </is>
      </c>
      <c r="B107" s="1" t="n">
        <v>45426.69</v>
      </c>
      <c r="C107" s="1" t="n">
        <v>46120</v>
      </c>
      <c r="D107" t="inlineStr">
        <is>
          <t>VÄSTRA GÖTALANDS LÄN</t>
        </is>
      </c>
      <c r="E107" t="inlineStr">
        <is>
          <t>KUNGÄLV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21389-2023</t>
        </is>
      </c>
      <c r="B108" s="1" t="n">
        <v>45063</v>
      </c>
      <c r="C108" s="1" t="n">
        <v>46120</v>
      </c>
      <c r="D108" t="inlineStr">
        <is>
          <t>VÄSTRA GÖTALANDS LÄN</t>
        </is>
      </c>
      <c r="E108" t="inlineStr">
        <is>
          <t>KUNGÄLV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44176-2023</t>
        </is>
      </c>
      <c r="B109" s="1" t="n">
        <v>45188</v>
      </c>
      <c r="C109" s="1" t="n">
        <v>46120</v>
      </c>
      <c r="D109" t="inlineStr">
        <is>
          <t>VÄSTRA GÖTALANDS LÄN</t>
        </is>
      </c>
      <c r="E109" t="inlineStr">
        <is>
          <t>KUNGÄLV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23457-2024</t>
        </is>
      </c>
      <c r="B110" s="1" t="n">
        <v>45453.65128472223</v>
      </c>
      <c r="C110" s="1" t="n">
        <v>46120</v>
      </c>
      <c r="D110" t="inlineStr">
        <is>
          <t>VÄSTRA GÖTALANDS LÄN</t>
        </is>
      </c>
      <c r="E110" t="inlineStr">
        <is>
          <t>KUNGÄLV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39714-2024</t>
        </is>
      </c>
      <c r="B111" s="1" t="n">
        <v>45552.60074074074</v>
      </c>
      <c r="C111" s="1" t="n">
        <v>46120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18852-2024</t>
        </is>
      </c>
      <c r="B112" s="1" t="n">
        <v>45426.69550925926</v>
      </c>
      <c r="C112" s="1" t="n">
        <v>46120</v>
      </c>
      <c r="D112" t="inlineStr">
        <is>
          <t>VÄSTRA GÖTALANDS LÄN</t>
        </is>
      </c>
      <c r="E112" t="inlineStr">
        <is>
          <t>KUNGÄLV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51724-2023</t>
        </is>
      </c>
      <c r="B113" s="1" t="n">
        <v>45222</v>
      </c>
      <c r="C113" s="1" t="n">
        <v>46120</v>
      </c>
      <c r="D113" t="inlineStr">
        <is>
          <t>VÄSTRA GÖTALANDS LÄN</t>
        </is>
      </c>
      <c r="E113" t="inlineStr">
        <is>
          <t>KUNGÄLV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5631-2024</t>
        </is>
      </c>
      <c r="B114" s="1" t="n">
        <v>45334.61013888889</v>
      </c>
      <c r="C114" s="1" t="n">
        <v>46120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21579-2025</t>
        </is>
      </c>
      <c r="B115" s="1" t="n">
        <v>45782.91234953704</v>
      </c>
      <c r="C115" s="1" t="n">
        <v>46120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46120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46120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46120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15078-2025</t>
        </is>
      </c>
      <c r="B119" s="1" t="n">
        <v>45743.84284722222</v>
      </c>
      <c r="C119" s="1" t="n">
        <v>46120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10677-2025</t>
        </is>
      </c>
      <c r="B120" s="1" t="n">
        <v>45721.89055555555</v>
      </c>
      <c r="C120" s="1" t="n">
        <v>46120</v>
      </c>
      <c r="D120" t="inlineStr">
        <is>
          <t>VÄSTRA GÖTALANDS LÄN</t>
        </is>
      </c>
      <c r="E120" t="inlineStr">
        <is>
          <t>KUNGÄLV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74285-2021</t>
        </is>
      </c>
      <c r="B121" s="1" t="n">
        <v>44558</v>
      </c>
      <c r="C121" s="1" t="n">
        <v>46120</v>
      </c>
      <c r="D121" t="inlineStr">
        <is>
          <t>VÄSTRA GÖTALANDS LÄN</t>
        </is>
      </c>
      <c r="E121" t="inlineStr">
        <is>
          <t>KUNGÄLV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2026-04-08T10:46:04Z</dcterms:created>
  <dcterms:modified xmlns:dcterms="http://purl.org/dc/terms/" xmlns:xsi="http://www.w3.org/2001/XMLSchema-instance" xsi:type="dcterms:W3CDTF">2026-04-08T10:46:04Z</dcterms:modified>
</cp:coreProperties>
</file>