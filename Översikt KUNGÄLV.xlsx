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45967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45967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45967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45967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45967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45967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45967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45967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53008-2025</t>
        </is>
      </c>
      <c r="B13" s="1" t="n">
        <v>45957</v>
      </c>
      <c r="C13" s="1" t="n">
        <v>45967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HYPERLINK("https://klasma.github.io/Logging_1482/artfynd/A 53008-2025 artfynd.xlsx", "A 53008-2025")</f>
        <v/>
      </c>
      <c r="T13">
        <f>HYPERLINK("https://klasma.github.io/Logging_1482/kartor/A 53008-2025 karta.png", "A 53008-2025")</f>
        <v/>
      </c>
      <c r="V13">
        <f>HYPERLINK("https://klasma.github.io/Logging_1482/klagomål/A 53008-2025 FSC-klagomål.docx", "A 53008-2025")</f>
        <v/>
      </c>
      <c r="W13">
        <f>HYPERLINK("https://klasma.github.io/Logging_1482/klagomålsmail/A 53008-2025 FSC-klagomål mail.docx", "A 53008-2025")</f>
        <v/>
      </c>
      <c r="X13">
        <f>HYPERLINK("https://klasma.github.io/Logging_1482/tillsyn/A 53008-2025 tillsynsbegäran.docx", "A 53008-2025")</f>
        <v/>
      </c>
      <c r="Y13">
        <f>HYPERLINK("https://klasma.github.io/Logging_1482/tillsynsmail/A 53008-2025 tillsynsbegäran mail.docx", "A 53008-2025")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45967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45967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45967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45967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45967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45967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45967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45967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45967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45967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45967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45967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45967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45967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45967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45967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45967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45967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45967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45967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45967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45967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41765-2021</t>
        </is>
      </c>
      <c r="B36" s="1" t="n">
        <v>44425</v>
      </c>
      <c r="C36" s="1" t="n">
        <v>45967</v>
      </c>
      <c r="D36" t="inlineStr">
        <is>
          <t>VÄSTRA GÖTALANDS LÄN</t>
        </is>
      </c>
      <c r="E36" t="inlineStr">
        <is>
          <t>KUNGÄLV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13529-2024</t>
        </is>
      </c>
      <c r="B37" s="1" t="n">
        <v>45387.84504629629</v>
      </c>
      <c r="C37" s="1" t="n">
        <v>45967</v>
      </c>
      <c r="D37" t="inlineStr">
        <is>
          <t>VÄSTRA GÖTALANDS LÄN</t>
        </is>
      </c>
      <c r="E37" t="inlineStr">
        <is>
          <t>KUNGÄLV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45967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45967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45967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45967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44837.37417824074</v>
      </c>
      <c r="C42" s="1" t="n">
        <v>45967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27463-2024</t>
        </is>
      </c>
      <c r="B43" s="1" t="n">
        <v>45474.45266203704</v>
      </c>
      <c r="C43" s="1" t="n">
        <v>45967</v>
      </c>
      <c r="D43" t="inlineStr">
        <is>
          <t>VÄSTRA GÖTALANDS LÄN</t>
        </is>
      </c>
      <c r="E43" t="inlineStr">
        <is>
          <t>KUNGÄLV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45391.59994212963</v>
      </c>
      <c r="C44" s="1" t="n">
        <v>45967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45967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45967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45967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17451-2025</t>
        </is>
      </c>
      <c r="B48" s="1" t="n">
        <v>45757.44825231482</v>
      </c>
      <c r="C48" s="1" t="n">
        <v>45967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17455-2025</t>
        </is>
      </c>
      <c r="B49" s="1" t="n">
        <v>45757.45109953704</v>
      </c>
      <c r="C49" s="1" t="n">
        <v>45967</v>
      </c>
      <c r="D49" t="inlineStr">
        <is>
          <t>VÄSTRA GÖTALANDS LÄN</t>
        </is>
      </c>
      <c r="E49" t="inlineStr">
        <is>
          <t>KUNGÄLV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45967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45990-2022</t>
        </is>
      </c>
      <c r="B51" s="1" t="n">
        <v>44846</v>
      </c>
      <c r="C51" s="1" t="n">
        <v>45967</v>
      </c>
      <c r="D51" t="inlineStr">
        <is>
          <t>VÄSTRA GÖTALANDS LÄN</t>
        </is>
      </c>
      <c r="E51" t="inlineStr">
        <is>
          <t>KUNGÄLV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46588-2025</t>
        </is>
      </c>
      <c r="B52" s="1" t="n">
        <v>45926.39152777778</v>
      </c>
      <c r="C52" s="1" t="n">
        <v>45967</v>
      </c>
      <c r="D52" t="inlineStr">
        <is>
          <t>VÄSTRA GÖTALANDS LÄN</t>
        </is>
      </c>
      <c r="E52" t="inlineStr">
        <is>
          <t>KUNGÄLV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45967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45967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4263-2024</t>
        </is>
      </c>
      <c r="B55" s="1" t="n">
        <v>45324.51049768519</v>
      </c>
      <c r="C55" s="1" t="n">
        <v>45967</v>
      </c>
      <c r="D55" t="inlineStr">
        <is>
          <t>VÄSTRA GÖTALANDS LÄN</t>
        </is>
      </c>
      <c r="E55" t="inlineStr">
        <is>
          <t>KUNGÄLV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17922-2025</t>
        </is>
      </c>
      <c r="B56" s="1" t="n">
        <v>45758.90710648148</v>
      </c>
      <c r="C56" s="1" t="n">
        <v>45967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45967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45967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62979-2023</t>
        </is>
      </c>
      <c r="B59" s="1" t="n">
        <v>45271</v>
      </c>
      <c r="C59" s="1" t="n">
        <v>45967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45967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55830-2024</t>
        </is>
      </c>
      <c r="B61" s="1" t="n">
        <v>45623.48478009259</v>
      </c>
      <c r="C61" s="1" t="n">
        <v>45967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45967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34366-2022</t>
        </is>
      </c>
      <c r="B63" s="1" t="n">
        <v>44792</v>
      </c>
      <c r="C63" s="1" t="n">
        <v>45967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5631-2024</t>
        </is>
      </c>
      <c r="B64" s="1" t="n">
        <v>45334.61013888889</v>
      </c>
      <c r="C64" s="1" t="n">
        <v>45967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45967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45967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29801-2022</t>
        </is>
      </c>
      <c r="B67" s="1" t="n">
        <v>44755.70518518519</v>
      </c>
      <c r="C67" s="1" t="n">
        <v>45967</v>
      </c>
      <c r="D67" t="inlineStr">
        <is>
          <t>VÄSTRA GÖTALANDS LÄN</t>
        </is>
      </c>
      <c r="E67" t="inlineStr">
        <is>
          <t>KUNGÄLV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45967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661-2025</t>
        </is>
      </c>
      <c r="B69" s="1" t="n">
        <v>45664.68572916667</v>
      </c>
      <c r="C69" s="1" t="n">
        <v>45967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21579-2025</t>
        </is>
      </c>
      <c r="B70" s="1" t="n">
        <v>45782.91234953704</v>
      </c>
      <c r="C70" s="1" t="n">
        <v>45967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40951-2025</t>
        </is>
      </c>
      <c r="B71" s="1" t="n">
        <v>45897.66342592592</v>
      </c>
      <c r="C71" s="1" t="n">
        <v>45967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44543.62230324074</v>
      </c>
      <c r="C72" s="1" t="n">
        <v>45967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21883-2021</t>
        </is>
      </c>
      <c r="B73" s="1" t="n">
        <v>44322</v>
      </c>
      <c r="C73" s="1" t="n">
        <v>45967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45967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10679-2025</t>
        </is>
      </c>
      <c r="B75" s="1" t="n">
        <v>45721.89462962963</v>
      </c>
      <c r="C75" s="1" t="n">
        <v>45967</v>
      </c>
      <c r="D75" t="inlineStr">
        <is>
          <t>VÄSTRA GÖTALANDS LÄN</t>
        </is>
      </c>
      <c r="E75" t="inlineStr">
        <is>
          <t>KUNGÄLV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8943-2025</t>
        </is>
      </c>
      <c r="B76" s="1" t="n">
        <v>45713.45105324074</v>
      </c>
      <c r="C76" s="1" t="n">
        <v>45967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11237-2025</t>
        </is>
      </c>
      <c r="B77" s="1" t="n">
        <v>45726.36668981481</v>
      </c>
      <c r="C77" s="1" t="n">
        <v>45967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45967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45967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74285-2021</t>
        </is>
      </c>
      <c r="B80" s="1" t="n">
        <v>44558</v>
      </c>
      <c r="C80" s="1" t="n">
        <v>45967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3026-2021</t>
        </is>
      </c>
      <c r="B81" s="1" t="n">
        <v>44216</v>
      </c>
      <c r="C81" s="1" t="n">
        <v>45967</v>
      </c>
      <c r="D81" t="inlineStr">
        <is>
          <t>VÄSTRA GÖTALANDS LÄN</t>
        </is>
      </c>
      <c r="E81" t="inlineStr">
        <is>
          <t>KUNGÄLV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24461-2023</t>
        </is>
      </c>
      <c r="B82" s="1" t="n">
        <v>45082</v>
      </c>
      <c r="C82" s="1" t="n">
        <v>45967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143-2023</t>
        </is>
      </c>
      <c r="B83" s="1" t="n">
        <v>44928.53378472223</v>
      </c>
      <c r="C83" s="1" t="n">
        <v>45967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45967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52932-2025</t>
        </is>
      </c>
      <c r="B85" s="1" t="n">
        <v>45957.62373842593</v>
      </c>
      <c r="C85" s="1" t="n">
        <v>45967</v>
      </c>
      <c r="D85" t="inlineStr">
        <is>
          <t>VÄSTRA GÖTALANDS LÄN</t>
        </is>
      </c>
      <c r="E85" t="inlineStr">
        <is>
          <t>KUNGÄLV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63319-2021</t>
        </is>
      </c>
      <c r="B86" s="1" t="n">
        <v>44508.45226851852</v>
      </c>
      <c r="C86" s="1" t="n">
        <v>45967</v>
      </c>
      <c r="D86" t="inlineStr">
        <is>
          <t>VÄSTRA GÖTALANDS LÄN</t>
        </is>
      </c>
      <c r="E86" t="inlineStr">
        <is>
          <t>KUNGÄLV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53007-2025</t>
        </is>
      </c>
      <c r="B87" s="1" t="n">
        <v>45957</v>
      </c>
      <c r="C87" s="1" t="n">
        <v>45967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26812-2024</t>
        </is>
      </c>
      <c r="B88" s="1" t="n">
        <v>45470.54344907407</v>
      </c>
      <c r="C88" s="1" t="n">
        <v>45967</v>
      </c>
      <c r="D88" t="inlineStr">
        <is>
          <t>VÄSTRA GÖTALANDS LÄN</t>
        </is>
      </c>
      <c r="E88" t="inlineStr">
        <is>
          <t>KUNGÄLV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45967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45967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7505-2024</t>
        </is>
      </c>
      <c r="B91" s="1" t="n">
        <v>45347.93181712963</v>
      </c>
      <c r="C91" s="1" t="n">
        <v>45967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45124-2025</t>
        </is>
      </c>
      <c r="B92" s="1" t="n">
        <v>45919.43206018519</v>
      </c>
      <c r="C92" s="1" t="n">
        <v>45967</v>
      </c>
      <c r="D92" t="inlineStr">
        <is>
          <t>VÄSTRA GÖTALANDS LÄN</t>
        </is>
      </c>
      <c r="E92" t="inlineStr">
        <is>
          <t>KUNGÄLV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45967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45967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10810-2023</t>
        </is>
      </c>
      <c r="B95" s="1" t="n">
        <v>44989.75795138889</v>
      </c>
      <c r="C95" s="1" t="n">
        <v>45967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62128-2021</t>
        </is>
      </c>
      <c r="B96" s="1" t="n">
        <v>44502</v>
      </c>
      <c r="C96" s="1" t="n">
        <v>45967</v>
      </c>
      <c r="D96" t="inlineStr">
        <is>
          <t>VÄSTRA GÖTALANDS LÄN</t>
        </is>
      </c>
      <c r="E96" t="inlineStr">
        <is>
          <t>KUNGÄLV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21240-2023</t>
        </is>
      </c>
      <c r="B97" s="1" t="n">
        <v>45058</v>
      </c>
      <c r="C97" s="1" t="n">
        <v>45967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25135-2025</t>
        </is>
      </c>
      <c r="B98" s="1" t="n">
        <v>45798</v>
      </c>
      <c r="C98" s="1" t="n">
        <v>45967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45967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32391-2025</t>
        </is>
      </c>
      <c r="B100" s="1" t="n">
        <v>45837.90662037037</v>
      </c>
      <c r="C100" s="1" t="n">
        <v>45967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18851-2024</t>
        </is>
      </c>
      <c r="B101" s="1" t="n">
        <v>45426.69</v>
      </c>
      <c r="C101" s="1" t="n">
        <v>45967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45967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44176-2023</t>
        </is>
      </c>
      <c r="B103" s="1" t="n">
        <v>45188</v>
      </c>
      <c r="C103" s="1" t="n">
        <v>45967</v>
      </c>
      <c r="D103" t="inlineStr">
        <is>
          <t>VÄSTRA GÖTALANDS LÄN</t>
        </is>
      </c>
      <c r="E103" t="inlineStr">
        <is>
          <t>KUNGÄLV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33493-2021</t>
        </is>
      </c>
      <c r="B104" s="1" t="n">
        <v>44377</v>
      </c>
      <c r="C104" s="1" t="n">
        <v>45967</v>
      </c>
      <c r="D104" t="inlineStr">
        <is>
          <t>VÄSTRA GÖTALANDS LÄN</t>
        </is>
      </c>
      <c r="E104" t="inlineStr">
        <is>
          <t>KUNGÄLV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23457-2024</t>
        </is>
      </c>
      <c r="B105" s="1" t="n">
        <v>45453.65128472223</v>
      </c>
      <c r="C105" s="1" t="n">
        <v>45967</v>
      </c>
      <c r="D105" t="inlineStr">
        <is>
          <t>VÄSTRA GÖTALANDS LÄN</t>
        </is>
      </c>
      <c r="E105" t="inlineStr">
        <is>
          <t>KUNGÄLV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39714-2024</t>
        </is>
      </c>
      <c r="B106" s="1" t="n">
        <v>45552.60074074074</v>
      </c>
      <c r="C106" s="1" t="n">
        <v>45967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18852-2024</t>
        </is>
      </c>
      <c r="B107" s="1" t="n">
        <v>45426.69550925926</v>
      </c>
      <c r="C107" s="1" t="n">
        <v>45967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34250-2025</t>
        </is>
      </c>
      <c r="B108" s="1" t="n">
        <v>45844</v>
      </c>
      <c r="C108" s="1" t="n">
        <v>45967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49985-2023</t>
        </is>
      </c>
      <c r="B109" s="1" t="n">
        <v>45215</v>
      </c>
      <c r="C109" s="1" t="n">
        <v>45967</v>
      </c>
      <c r="D109" t="inlineStr">
        <is>
          <t>VÄSTRA GÖTALANDS LÄN</t>
        </is>
      </c>
      <c r="E109" t="inlineStr">
        <is>
          <t>KUNGÄLV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34244-2025</t>
        </is>
      </c>
      <c r="B110" s="1" t="n">
        <v>45844</v>
      </c>
      <c r="C110" s="1" t="n">
        <v>45967</v>
      </c>
      <c r="D110" t="inlineStr">
        <is>
          <t>VÄSTRA GÖTALANDS LÄN</t>
        </is>
      </c>
      <c r="E110" t="inlineStr">
        <is>
          <t>KUNGÄLV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25624-2025</t>
        </is>
      </c>
      <c r="B111" s="1" t="n">
        <v>45803.57885416667</v>
      </c>
      <c r="C111" s="1" t="n">
        <v>45967</v>
      </c>
      <c r="D111" t="inlineStr">
        <is>
          <t>VÄSTRA GÖTALANDS LÄN</t>
        </is>
      </c>
      <c r="E111" t="inlineStr">
        <is>
          <t>KUNGÄLV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36055-2025</t>
        </is>
      </c>
      <c r="B112" s="1" t="n">
        <v>45866</v>
      </c>
      <c r="C112" s="1" t="n">
        <v>45967</v>
      </c>
      <c r="D112" t="inlineStr">
        <is>
          <t>VÄSTRA GÖTALANDS LÄN</t>
        </is>
      </c>
      <c r="E112" t="inlineStr">
        <is>
          <t>KUNGÄLV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6096-2025</t>
        </is>
      </c>
      <c r="B113" s="1" t="n">
        <v>45697</v>
      </c>
      <c r="C113" s="1" t="n">
        <v>45967</v>
      </c>
      <c r="D113" t="inlineStr">
        <is>
          <t>VÄSTRA GÖTALANDS LÄN</t>
        </is>
      </c>
      <c r="E113" t="inlineStr">
        <is>
          <t>KUNGÄLV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41442-2025</t>
        </is>
      </c>
      <c r="B114" s="1" t="n">
        <v>45869</v>
      </c>
      <c r="C114" s="1" t="n">
        <v>45967</v>
      </c>
      <c r="D114" t="inlineStr">
        <is>
          <t>VÄSTRA GÖTALANDS LÄN</t>
        </is>
      </c>
      <c r="E114" t="inlineStr">
        <is>
          <t>KUNGÄLV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37443-2025</t>
        </is>
      </c>
      <c r="B115" s="1" t="n">
        <v>45877.54152777778</v>
      </c>
      <c r="C115" s="1" t="n">
        <v>45967</v>
      </c>
      <c r="D115" t="inlineStr">
        <is>
          <t>VÄSTRA GÖTALANDS LÄN</t>
        </is>
      </c>
      <c r="E115" t="inlineStr">
        <is>
          <t>KUNGÄLV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2025-11-06T10:15:45Z</dcterms:created>
  <dcterms:modified xmlns:dcterms="http://purl.org/dc/terms/" xmlns:xsi="http://www.w3.org/2001/XMLSchema-instance" xsi:type="dcterms:W3CDTF">2025-11-06T10:15:45Z</dcterms:modified>
</cp:coreProperties>
</file>