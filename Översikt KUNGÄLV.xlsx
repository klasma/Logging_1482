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46043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53008-2025</t>
        </is>
      </c>
      <c r="B5" s="1" t="n">
        <v>45957</v>
      </c>
      <c r="C5" s="1" t="n">
        <v>46043</v>
      </c>
      <c r="D5" t="inlineStr">
        <is>
          <t>VÄSTRA GÖTALANDS LÄN</t>
        </is>
      </c>
      <c r="E5" t="inlineStr">
        <is>
          <t>KUNGÄLV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Kambräken
Västlig hakmossa</t>
        </is>
      </c>
      <c r="S5">
        <f>HYPERLINK("https://klasma.github.io/Logging_1482/artfynd/A 53008-2025 artfynd.xlsx", "A 53008-2025")</f>
        <v/>
      </c>
      <c r="T5">
        <f>HYPERLINK("https://klasma.github.io/Logging_1482/kartor/A 53008-2025 karta.png", "A 53008-2025")</f>
        <v/>
      </c>
      <c r="V5">
        <f>HYPERLINK("https://klasma.github.io/Logging_1482/klagomål/A 53008-2025 FSC-klagomål.docx", "A 53008-2025")</f>
        <v/>
      </c>
      <c r="W5">
        <f>HYPERLINK("https://klasma.github.io/Logging_1482/klagomålsmail/A 53008-2025 FSC-klagomål mail.docx", "A 53008-2025")</f>
        <v/>
      </c>
      <c r="X5">
        <f>HYPERLINK("https://klasma.github.io/Logging_1482/tillsyn/A 53008-2025 tillsynsbegäran.docx", "A 53008-2025")</f>
        <v/>
      </c>
      <c r="Y5">
        <f>HYPERLINK("https://klasma.github.io/Logging_1482/tillsynsmail/A 53008-2025 tillsynsbegäran mail.docx", "A 53008-2025")</f>
        <v/>
      </c>
      <c r="Z5">
        <f>HYPERLINK("https://klasma.github.io/Logging_1482/fåglar/A 53008-2025 prioriterade fågelarter.docx", "A 53008-2025")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46043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46043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46043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57116-2025</t>
        </is>
      </c>
      <c r="B9" s="1" t="n">
        <v>45979.46130787037</v>
      </c>
      <c r="C9" s="1" t="n">
        <v>46043</v>
      </c>
      <c r="D9" t="inlineStr">
        <is>
          <t>VÄSTRA GÖTALANDS LÄN</t>
        </is>
      </c>
      <c r="E9" t="inlineStr">
        <is>
          <t>KUNGÄLV</t>
        </is>
      </c>
      <c r="G9" t="n">
        <v>3.5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57116-2025 artfynd.xlsx", "A 57116-2025")</f>
        <v/>
      </c>
      <c r="T9">
        <f>HYPERLINK("https://klasma.github.io/Logging_1482/kartor/A 57116-2025 karta.png", "A 57116-2025")</f>
        <v/>
      </c>
      <c r="V9">
        <f>HYPERLINK("https://klasma.github.io/Logging_1482/klagomål/A 57116-2025 FSC-klagomål.docx", "A 57116-2025")</f>
        <v/>
      </c>
      <c r="W9">
        <f>HYPERLINK("https://klasma.github.io/Logging_1482/klagomålsmail/A 57116-2025 FSC-klagomål mail.docx", "A 57116-2025")</f>
        <v/>
      </c>
      <c r="X9">
        <f>HYPERLINK("https://klasma.github.io/Logging_1482/tillsyn/A 57116-2025 tillsynsbegäran.docx", "A 57116-2025")</f>
        <v/>
      </c>
      <c r="Y9">
        <f>HYPERLINK("https://klasma.github.io/Logging_1482/tillsynsmail/A 57116-2025 tillsynsbegäran mail.docx", "A 57116-2025")</f>
        <v/>
      </c>
      <c r="Z9">
        <f>HYPERLINK("https://klasma.github.io/Logging_1482/fåglar/A 57116-2025 prioriterade fågelarter.docx", "A 57116-2025")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46043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46043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46043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46043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46043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46043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46043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46043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46043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46043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46043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46043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46043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46043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46043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46043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46043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46043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46043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46043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46043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46043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46043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46043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46043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46043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46043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46043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46043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46043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13880-2024</t>
        </is>
      </c>
      <c r="B41" s="1" t="n">
        <v>45391.59994212963</v>
      </c>
      <c r="C41" s="1" t="n">
        <v>46043</v>
      </c>
      <c r="D41" t="inlineStr">
        <is>
          <t>VÄSTRA GÖTALANDS LÄN</t>
        </is>
      </c>
      <c r="E41" t="inlineStr">
        <is>
          <t>KUNGÄLV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46043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46043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46043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46043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58408-2025</t>
        </is>
      </c>
      <c r="B46" s="1" t="n">
        <v>45985.56969907408</v>
      </c>
      <c r="C46" s="1" t="n">
        <v>46043</v>
      </c>
      <c r="D46" t="inlineStr">
        <is>
          <t>VÄSTRA GÖTALANDS LÄN</t>
        </is>
      </c>
      <c r="E46" t="inlineStr">
        <is>
          <t>KUNGÄLV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46043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46043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8943-2025</t>
        </is>
      </c>
      <c r="B49" s="1" t="n">
        <v>45713.45105324074</v>
      </c>
      <c r="C49" s="1" t="n">
        <v>46043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11237-2025</t>
        </is>
      </c>
      <c r="B50" s="1" t="n">
        <v>45726.36668981481</v>
      </c>
      <c r="C50" s="1" t="n">
        <v>46043</v>
      </c>
      <c r="D50" t="inlineStr">
        <is>
          <t>VÄSTRA GÖTALANDS LÄN</t>
        </is>
      </c>
      <c r="E50" t="inlineStr">
        <is>
          <t>KUNGÄLV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15078-2025</t>
        </is>
      </c>
      <c r="B51" s="1" t="n">
        <v>45743.84284722222</v>
      </c>
      <c r="C51" s="1" t="n">
        <v>46043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46043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46043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46043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43520-2022</t>
        </is>
      </c>
      <c r="B55" s="1" t="n">
        <v>44837.37417824074</v>
      </c>
      <c r="C55" s="1" t="n">
        <v>46043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46043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46043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46043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46043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8334-2023</t>
        </is>
      </c>
      <c r="B60" s="1" t="n">
        <v>44975</v>
      </c>
      <c r="C60" s="1" t="n">
        <v>46043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46043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47569-2025</t>
        </is>
      </c>
      <c r="B62" s="1" t="n">
        <v>45931.39331018519</v>
      </c>
      <c r="C62" s="1" t="n">
        <v>46043</v>
      </c>
      <c r="D62" t="inlineStr">
        <is>
          <t>VÄSTRA GÖTALANDS LÄN</t>
        </is>
      </c>
      <c r="E62" t="inlineStr">
        <is>
          <t>KUNGÄLV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46043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55830-2024</t>
        </is>
      </c>
      <c r="B64" s="1" t="n">
        <v>45623.48478009259</v>
      </c>
      <c r="C64" s="1" t="n">
        <v>46043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46043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46043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4262-2024</t>
        </is>
      </c>
      <c r="B67" s="1" t="n">
        <v>45324.50902777778</v>
      </c>
      <c r="C67" s="1" t="n">
        <v>46043</v>
      </c>
      <c r="D67" t="inlineStr">
        <is>
          <t>VÄSTRA GÖTALANDS LÄN</t>
        </is>
      </c>
      <c r="E67" t="inlineStr">
        <is>
          <t>KUNGÄLV</t>
        </is>
      </c>
      <c r="G67" t="n">
        <v>14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32847-2023</t>
        </is>
      </c>
      <c r="B68" s="1" t="n">
        <v>45124.61965277778</v>
      </c>
      <c r="C68" s="1" t="n">
        <v>46043</v>
      </c>
      <c r="D68" t="inlineStr">
        <is>
          <t>VÄSTRA GÖTALANDS LÄN</t>
        </is>
      </c>
      <c r="E68" t="inlineStr">
        <is>
          <t>KUNGÄLV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52932-2025</t>
        </is>
      </c>
      <c r="B69" s="1" t="n">
        <v>45957.62373842593</v>
      </c>
      <c r="C69" s="1" t="n">
        <v>46043</v>
      </c>
      <c r="D69" t="inlineStr">
        <is>
          <t>VÄSTRA GÖTALANDS LÄN</t>
        </is>
      </c>
      <c r="E69" t="inlineStr">
        <is>
          <t>KUNGÄLV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46043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46043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46043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25135-2025</t>
        </is>
      </c>
      <c r="B73" s="1" t="n">
        <v>45798</v>
      </c>
      <c r="C73" s="1" t="n">
        <v>46043</v>
      </c>
      <c r="D73" t="inlineStr">
        <is>
          <t>VÄSTRA GÖTALANDS LÄN</t>
        </is>
      </c>
      <c r="E73" t="inlineStr">
        <is>
          <t>KUNGÄLV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32392-2025</t>
        </is>
      </c>
      <c r="B74" s="1" t="n">
        <v>45837.9102199074</v>
      </c>
      <c r="C74" s="1" t="n">
        <v>46043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32391-2025</t>
        </is>
      </c>
      <c r="B75" s="1" t="n">
        <v>45837.90662037037</v>
      </c>
      <c r="C75" s="1" t="n">
        <v>46043</v>
      </c>
      <c r="D75" t="inlineStr">
        <is>
          <t>VÄSTRA GÖTALANDS LÄN</t>
        </is>
      </c>
      <c r="E75" t="inlineStr">
        <is>
          <t>KUNGÄLV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46043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33493-2021</t>
        </is>
      </c>
      <c r="B77" s="1" t="n">
        <v>44377</v>
      </c>
      <c r="C77" s="1" t="n">
        <v>46043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143-2023</t>
        </is>
      </c>
      <c r="B78" s="1" t="n">
        <v>44928.53378472223</v>
      </c>
      <c r="C78" s="1" t="n">
        <v>46043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46043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49985-2023</t>
        </is>
      </c>
      <c r="B80" s="1" t="n">
        <v>45215</v>
      </c>
      <c r="C80" s="1" t="n">
        <v>46043</v>
      </c>
      <c r="D80" t="inlineStr">
        <is>
          <t>VÄSTRA GÖTALANDS LÄN</t>
        </is>
      </c>
      <c r="E80" t="inlineStr">
        <is>
          <t>KUNGÄLV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46043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34244-2025</t>
        </is>
      </c>
      <c r="B82" s="1" t="n">
        <v>45844</v>
      </c>
      <c r="C82" s="1" t="n">
        <v>46043</v>
      </c>
      <c r="D82" t="inlineStr">
        <is>
          <t>VÄSTRA GÖTALANDS LÄN</t>
        </is>
      </c>
      <c r="E82" t="inlineStr">
        <is>
          <t>KUNGÄLV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46043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46043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7505-2024</t>
        </is>
      </c>
      <c r="B85" s="1" t="n">
        <v>45347.93181712963</v>
      </c>
      <c r="C85" s="1" t="n">
        <v>46043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46043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46043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13529-2024</t>
        </is>
      </c>
      <c r="B88" s="1" t="n">
        <v>45387.84504629629</v>
      </c>
      <c r="C88" s="1" t="n">
        <v>46043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37443-2025</t>
        </is>
      </c>
      <c r="B89" s="1" t="n">
        <v>45877.54152777778</v>
      </c>
      <c r="C89" s="1" t="n">
        <v>46043</v>
      </c>
      <c r="D89" t="inlineStr">
        <is>
          <t>VÄSTRA GÖTALANDS LÄN</t>
        </is>
      </c>
      <c r="E89" t="inlineStr">
        <is>
          <t>KUNGÄLV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27463-2024</t>
        </is>
      </c>
      <c r="B90" s="1" t="n">
        <v>45474.45266203704</v>
      </c>
      <c r="C90" s="1" t="n">
        <v>46043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10655-2022</t>
        </is>
      </c>
      <c r="B91" s="1" t="n">
        <v>44624</v>
      </c>
      <c r="C91" s="1" t="n">
        <v>46043</v>
      </c>
      <c r="D91" t="inlineStr">
        <is>
          <t>VÄSTRA GÖTALANDS LÄN</t>
        </is>
      </c>
      <c r="E91" t="inlineStr">
        <is>
          <t>KUNGÄLV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17451-2025</t>
        </is>
      </c>
      <c r="B92" s="1" t="n">
        <v>45757.44825231482</v>
      </c>
      <c r="C92" s="1" t="n">
        <v>46043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17455-2025</t>
        </is>
      </c>
      <c r="B93" s="1" t="n">
        <v>45757.45109953704</v>
      </c>
      <c r="C93" s="1" t="n">
        <v>46043</v>
      </c>
      <c r="D93" t="inlineStr">
        <is>
          <t>VÄSTRA GÖTALANDS LÄN</t>
        </is>
      </c>
      <c r="E93" t="inlineStr">
        <is>
          <t>KUNGÄLV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46043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46043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46043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62979-2023</t>
        </is>
      </c>
      <c r="B97" s="1" t="n">
        <v>45271</v>
      </c>
      <c r="C97" s="1" t="n">
        <v>46043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46043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46043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49981-2023</t>
        </is>
      </c>
      <c r="B100" s="1" t="n">
        <v>45215</v>
      </c>
      <c r="C100" s="1" t="n">
        <v>46043</v>
      </c>
      <c r="D100" t="inlineStr">
        <is>
          <t>VÄSTRA GÖTALANDS LÄN</t>
        </is>
      </c>
      <c r="E100" t="inlineStr">
        <is>
          <t>KUNGÄLV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46043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46043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44894.39475694444</v>
      </c>
      <c r="C103" s="1" t="n">
        <v>46043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26812-2024</t>
        </is>
      </c>
      <c r="B104" s="1" t="n">
        <v>45470.54344907407</v>
      </c>
      <c r="C104" s="1" t="n">
        <v>46043</v>
      </c>
      <c r="D104" t="inlineStr">
        <is>
          <t>VÄSTRA GÖTALANDS LÄN</t>
        </is>
      </c>
      <c r="E104" t="inlineStr">
        <is>
          <t>KUNGÄLV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10810-2023</t>
        </is>
      </c>
      <c r="B105" s="1" t="n">
        <v>44989.75795138889</v>
      </c>
      <c r="C105" s="1" t="n">
        <v>46043</v>
      </c>
      <c r="D105" t="inlineStr">
        <is>
          <t>VÄSTRA GÖTALANDS LÄN</t>
        </is>
      </c>
      <c r="E105" t="inlineStr">
        <is>
          <t>KUNGÄLV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62128-2021</t>
        </is>
      </c>
      <c r="B106" s="1" t="n">
        <v>44502</v>
      </c>
      <c r="C106" s="1" t="n">
        <v>46043</v>
      </c>
      <c r="D106" t="inlineStr">
        <is>
          <t>VÄSTRA GÖTALANDS LÄN</t>
        </is>
      </c>
      <c r="E106" t="inlineStr">
        <is>
          <t>KUNGÄLV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21240-2023</t>
        </is>
      </c>
      <c r="B107" s="1" t="n">
        <v>45058</v>
      </c>
      <c r="C107" s="1" t="n">
        <v>46043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18851-2024</t>
        </is>
      </c>
      <c r="B108" s="1" t="n">
        <v>45426.69</v>
      </c>
      <c r="C108" s="1" t="n">
        <v>46043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46043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46043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23457-2024</t>
        </is>
      </c>
      <c r="B111" s="1" t="n">
        <v>45453.65128472223</v>
      </c>
      <c r="C111" s="1" t="n">
        <v>46043</v>
      </c>
      <c r="D111" t="inlineStr">
        <is>
          <t>VÄSTRA GÖTALANDS LÄN</t>
        </is>
      </c>
      <c r="E111" t="inlineStr">
        <is>
          <t>KUNGÄLV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39714-2024</t>
        </is>
      </c>
      <c r="B112" s="1" t="n">
        <v>45552.60074074074</v>
      </c>
      <c r="C112" s="1" t="n">
        <v>46043</v>
      </c>
      <c r="D112" t="inlineStr">
        <is>
          <t>VÄSTRA GÖTALANDS LÄN</t>
        </is>
      </c>
      <c r="E112" t="inlineStr">
        <is>
          <t>KUNGÄLV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18852-2024</t>
        </is>
      </c>
      <c r="B113" s="1" t="n">
        <v>45426.69550925926</v>
      </c>
      <c r="C113" s="1" t="n">
        <v>46043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51724-2023</t>
        </is>
      </c>
      <c r="B114" s="1" t="n">
        <v>45222</v>
      </c>
      <c r="C114" s="1" t="n">
        <v>46043</v>
      </c>
      <c r="D114" t="inlineStr">
        <is>
          <t>VÄSTRA GÖTALANDS LÄN</t>
        </is>
      </c>
      <c r="E114" t="inlineStr">
        <is>
          <t>KUNGÄLV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46043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21579-2025</t>
        </is>
      </c>
      <c r="B116" s="1" t="n">
        <v>45782.91234953704</v>
      </c>
      <c r="C116" s="1" t="n">
        <v>46043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2026-01-21T10:58:14Z</dcterms:created>
  <dcterms:modified xmlns:dcterms="http://purl.org/dc/terms/" xmlns:xsi="http://www.w3.org/2001/XMLSchema-instance" xsi:type="dcterms:W3CDTF">2026-01-21T10:58:15Z</dcterms:modified>
</cp:coreProperties>
</file>