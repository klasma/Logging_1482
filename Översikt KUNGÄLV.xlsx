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45577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45577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45577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45577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45577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45577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45577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45577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45577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45577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45577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45042-2024</t>
        </is>
      </c>
      <c r="B19" s="1" t="n">
        <v>45575</v>
      </c>
      <c r="C19" s="1" t="n">
        <v>45577</v>
      </c>
      <c r="D19" t="inlineStr">
        <is>
          <t>VÄSTRA GÖTALANDS LÄN</t>
        </is>
      </c>
      <c r="E19" t="inlineStr">
        <is>
          <t>KUNGÄLV</t>
        </is>
      </c>
      <c r="G19" t="n">
        <v>7.9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HYPERLINK("https://klasma.github.io/Logging_1482/artfynd/A 45042-2024 artfynd.xlsx", "A 45042-2024")</f>
        <v/>
      </c>
      <c r="T19">
        <f>HYPERLINK("https://klasma.github.io/Logging_1482/kartor/A 45042-2024 karta.png", "A 45042-2024")</f>
        <v/>
      </c>
      <c r="V19">
        <f>HYPERLINK("https://klasma.github.io/Logging_1482/klagomål/A 45042-2024 FSC-klagomål.docx", "A 45042-2024")</f>
        <v/>
      </c>
      <c r="W19">
        <f>HYPERLINK("https://klasma.github.io/Logging_1482/klagomålsmail/A 45042-2024 FSC-klagomål mail.docx", "A 45042-2024")</f>
        <v/>
      </c>
      <c r="X19">
        <f>HYPERLINK("https://klasma.github.io/Logging_1482/tillsyn/A 45042-2024 tillsynsbegäran.docx", "A 45042-2024")</f>
        <v/>
      </c>
      <c r="Y19">
        <f>HYPERLINK("https://klasma.github.io/Logging_1482/tillsynsmail/A 45042-2024 tillsynsbegäran mail.docx", "A 45042-2024")</f>
        <v/>
      </c>
      <c r="Z19">
        <f>HYPERLINK("https://klasma.github.io/Logging_1482/fåglar/A 45042-2024 prioriterade fågelarter.docx", "A 45042-2024")</f>
        <v/>
      </c>
    </row>
    <row r="20" ht="15" customHeight="1">
      <c r="A20" t="inlineStr">
        <is>
          <t>A 18341-2019</t>
        </is>
      </c>
      <c r="B20" s="1" t="n">
        <v>43559</v>
      </c>
      <c r="C20" s="1" t="n">
        <v>45577</v>
      </c>
      <c r="D20" t="inlineStr">
        <is>
          <t>VÄSTRA GÖTALANDS LÄN</t>
        </is>
      </c>
      <c r="E20" t="inlineStr">
        <is>
          <t>KUNGÄLV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20421-2019</t>
        </is>
      </c>
      <c r="B21" s="1" t="n">
        <v>43571</v>
      </c>
      <c r="C21" s="1" t="n">
        <v>45577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30453-2019</t>
        </is>
      </c>
      <c r="B22" s="1" t="n">
        <v>43634</v>
      </c>
      <c r="C22" s="1" t="n">
        <v>45577</v>
      </c>
      <c r="D22" t="inlineStr">
        <is>
          <t>VÄSTRA GÖTALANDS LÄN</t>
        </is>
      </c>
      <c r="E22" t="inlineStr">
        <is>
          <t>KUNGÄLV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33311-2019</t>
        </is>
      </c>
      <c r="B23" s="1" t="n">
        <v>43644</v>
      </c>
      <c r="C23" s="1" t="n">
        <v>45577</v>
      </c>
      <c r="D23" t="inlineStr">
        <is>
          <t>VÄSTRA GÖTALANDS LÄN</t>
        </is>
      </c>
      <c r="E23" t="inlineStr">
        <is>
          <t>KUNGÄLV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33684-2019</t>
        </is>
      </c>
      <c r="B24" s="1" t="n">
        <v>43651</v>
      </c>
      <c r="C24" s="1" t="n">
        <v>45577</v>
      </c>
      <c r="D24" t="inlineStr">
        <is>
          <t>VÄSTRA GÖTALANDS LÄN</t>
        </is>
      </c>
      <c r="E24" t="inlineStr">
        <is>
          <t>KUNGÄLV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33688-2019</t>
        </is>
      </c>
      <c r="B25" s="1" t="n">
        <v>43651</v>
      </c>
      <c r="C25" s="1" t="n">
        <v>45577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35538-2019</t>
        </is>
      </c>
      <c r="B26" s="1" t="n">
        <v>43664</v>
      </c>
      <c r="C26" s="1" t="n">
        <v>45577</v>
      </c>
      <c r="D26" t="inlineStr">
        <is>
          <t>VÄSTRA GÖTALANDS LÄN</t>
        </is>
      </c>
      <c r="E26" t="inlineStr">
        <is>
          <t>KUNGÄLV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50871-2019</t>
        </is>
      </c>
      <c r="B27" s="1" t="n">
        <v>43738</v>
      </c>
      <c r="C27" s="1" t="n">
        <v>45577</v>
      </c>
      <c r="D27" t="inlineStr">
        <is>
          <t>VÄSTRA GÖTALANDS LÄN</t>
        </is>
      </c>
      <c r="E27" t="inlineStr">
        <is>
          <t>KUNGÄLV</t>
        </is>
      </c>
      <c r="G27" t="n">
        <v>19.2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58160-2019</t>
        </is>
      </c>
      <c r="B28" s="1" t="n">
        <v>43769</v>
      </c>
      <c r="C28" s="1" t="n">
        <v>45577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59390-2019</t>
        </is>
      </c>
      <c r="B29" s="1" t="n">
        <v>43775</v>
      </c>
      <c r="C29" s="1" t="n">
        <v>45577</v>
      </c>
      <c r="D29" t="inlineStr">
        <is>
          <t>VÄSTRA GÖTALANDS LÄN</t>
        </is>
      </c>
      <c r="E29" t="inlineStr">
        <is>
          <t>KUNGÄLV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60348-2019</t>
        </is>
      </c>
      <c r="B30" s="1" t="n">
        <v>43780</v>
      </c>
      <c r="C30" s="1" t="n">
        <v>45577</v>
      </c>
      <c r="D30" t="inlineStr">
        <is>
          <t>VÄSTRA GÖTALANDS LÄN</t>
        </is>
      </c>
      <c r="E30" t="inlineStr">
        <is>
          <t>KUNGÄLV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60762-2019</t>
        </is>
      </c>
      <c r="B31" s="1" t="n">
        <v>43781</v>
      </c>
      <c r="C31" s="1" t="n">
        <v>45577</v>
      </c>
      <c r="D31" t="inlineStr">
        <is>
          <t>VÄSTRA GÖTALANDS LÄN</t>
        </is>
      </c>
      <c r="E31" t="inlineStr">
        <is>
          <t>KUNGÄLV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2423-2020</t>
        </is>
      </c>
      <c r="B32" s="1" t="n">
        <v>43847</v>
      </c>
      <c r="C32" s="1" t="n">
        <v>45577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9316-2020</t>
        </is>
      </c>
      <c r="B33" s="1" t="n">
        <v>43880</v>
      </c>
      <c r="C33" s="1" t="n">
        <v>45577</v>
      </c>
      <c r="D33" t="inlineStr">
        <is>
          <t>VÄSTRA GÖTALANDS LÄN</t>
        </is>
      </c>
      <c r="E33" t="inlineStr">
        <is>
          <t>KUNGÄLV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16046-2020</t>
        </is>
      </c>
      <c r="B34" s="1" t="n">
        <v>43916</v>
      </c>
      <c r="C34" s="1" t="n">
        <v>45577</v>
      </c>
      <c r="D34" t="inlineStr">
        <is>
          <t>VÄSTRA GÖTALANDS LÄN</t>
        </is>
      </c>
      <c r="E34" t="inlineStr">
        <is>
          <t>KUNGÄLV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22127-2020</t>
        </is>
      </c>
      <c r="B35" s="1" t="n">
        <v>43961</v>
      </c>
      <c r="C35" s="1" t="n">
        <v>45577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22123-2020</t>
        </is>
      </c>
      <c r="B36" s="1" t="n">
        <v>43961</v>
      </c>
      <c r="C36" s="1" t="n">
        <v>45577</v>
      </c>
      <c r="D36" t="inlineStr">
        <is>
          <t>VÄSTRA GÖTALANDS LÄN</t>
        </is>
      </c>
      <c r="E36" t="inlineStr">
        <is>
          <t>KUNGÄLV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24699-2020</t>
        </is>
      </c>
      <c r="B37" s="1" t="n">
        <v>43978</v>
      </c>
      <c r="C37" s="1" t="n">
        <v>45577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30086-2020</t>
        </is>
      </c>
      <c r="B38" s="1" t="n">
        <v>44006</v>
      </c>
      <c r="C38" s="1" t="n">
        <v>45577</v>
      </c>
      <c r="D38" t="inlineStr">
        <is>
          <t>VÄSTRA GÖTALANDS LÄN</t>
        </is>
      </c>
      <c r="E38" t="inlineStr">
        <is>
          <t>KUNGÄLV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35907-2020</t>
        </is>
      </c>
      <c r="B39" s="1" t="n">
        <v>44047</v>
      </c>
      <c r="C39" s="1" t="n">
        <v>45577</v>
      </c>
      <c r="D39" t="inlineStr">
        <is>
          <t>VÄSTRA GÖTALANDS LÄN</t>
        </is>
      </c>
      <c r="E39" t="inlineStr">
        <is>
          <t>KUNGÄLV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40568-2020</t>
        </is>
      </c>
      <c r="B40" s="1" t="n">
        <v>44069</v>
      </c>
      <c r="C40" s="1" t="n">
        <v>45577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48785-2020</t>
        </is>
      </c>
      <c r="B41" s="1" t="n">
        <v>44103</v>
      </c>
      <c r="C41" s="1" t="n">
        <v>45577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53539-2020</t>
        </is>
      </c>
      <c r="B42" s="1" t="n">
        <v>44124</v>
      </c>
      <c r="C42" s="1" t="n">
        <v>45577</v>
      </c>
      <c r="D42" t="inlineStr">
        <is>
          <t>VÄSTRA GÖTALANDS LÄN</t>
        </is>
      </c>
      <c r="E42" t="inlineStr">
        <is>
          <t>KUNGÄLV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53755-2020</t>
        </is>
      </c>
      <c r="B43" s="1" t="n">
        <v>44124</v>
      </c>
      <c r="C43" s="1" t="n">
        <v>45577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58334-2020</t>
        </is>
      </c>
      <c r="B44" s="1" t="n">
        <v>44141</v>
      </c>
      <c r="C44" s="1" t="n">
        <v>45577</v>
      </c>
      <c r="D44" t="inlineStr">
        <is>
          <t>VÄSTRA GÖTALANDS LÄN</t>
        </is>
      </c>
      <c r="E44" t="inlineStr">
        <is>
          <t>KUNGÄLV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45577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3038-2021</t>
        </is>
      </c>
      <c r="B46" s="1" t="n">
        <v>44216</v>
      </c>
      <c r="C46" s="1" t="n">
        <v>45577</v>
      </c>
      <c r="D46" t="inlineStr">
        <is>
          <t>VÄSTRA GÖTALANDS LÄN</t>
        </is>
      </c>
      <c r="E46" t="inlineStr">
        <is>
          <t>KUNGÄLV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4892-2021</t>
        </is>
      </c>
      <c r="B47" s="1" t="n">
        <v>44224</v>
      </c>
      <c r="C47" s="1" t="n">
        <v>45577</v>
      </c>
      <c r="D47" t="inlineStr">
        <is>
          <t>VÄSTRA GÖTALANDS LÄN</t>
        </is>
      </c>
      <c r="E47" t="inlineStr">
        <is>
          <t>KUNGÄLV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5093-2021</t>
        </is>
      </c>
      <c r="B48" s="1" t="n">
        <v>44228</v>
      </c>
      <c r="C48" s="1" t="n">
        <v>45577</v>
      </c>
      <c r="D48" t="inlineStr">
        <is>
          <t>VÄSTRA GÖTALANDS LÄN</t>
        </is>
      </c>
      <c r="E48" t="inlineStr">
        <is>
          <t>KUNGÄLV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5099-2021</t>
        </is>
      </c>
      <c r="B49" s="1" t="n">
        <v>44228</v>
      </c>
      <c r="C49" s="1" t="n">
        <v>45577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9297-2021</t>
        </is>
      </c>
      <c r="B50" s="1" t="n">
        <v>44250</v>
      </c>
      <c r="C50" s="1" t="n">
        <v>45577</v>
      </c>
      <c r="D50" t="inlineStr">
        <is>
          <t>VÄSTRA GÖTALANDS LÄN</t>
        </is>
      </c>
      <c r="E50" t="inlineStr">
        <is>
          <t>KUNGÄLV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12517-2021</t>
        </is>
      </c>
      <c r="B51" s="1" t="n">
        <v>44268</v>
      </c>
      <c r="C51" s="1" t="n">
        <v>45577</v>
      </c>
      <c r="D51" t="inlineStr">
        <is>
          <t>VÄSTRA GÖTALANDS LÄN</t>
        </is>
      </c>
      <c r="E51" t="inlineStr">
        <is>
          <t>KUNGÄLV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45577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45577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45577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45577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33455-2021</t>
        </is>
      </c>
      <c r="B56" s="1" t="n">
        <v>44377</v>
      </c>
      <c r="C56" s="1" t="n">
        <v>45577</v>
      </c>
      <c r="D56" t="inlineStr">
        <is>
          <t>VÄSTRA GÖTALANDS LÄN</t>
        </is>
      </c>
      <c r="E56" t="inlineStr">
        <is>
          <t>KUNGÄLV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33496-2021</t>
        </is>
      </c>
      <c r="B57" s="1" t="n">
        <v>44377</v>
      </c>
      <c r="C57" s="1" t="n">
        <v>45577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41751-2021</t>
        </is>
      </c>
      <c r="B58" s="1" t="n">
        <v>44425</v>
      </c>
      <c r="C58" s="1" t="n">
        <v>45577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45577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41771-2021</t>
        </is>
      </c>
      <c r="B60" s="1" t="n">
        <v>44425</v>
      </c>
      <c r="C60" s="1" t="n">
        <v>45577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48311-2021</t>
        </is>
      </c>
      <c r="B61" s="1" t="n">
        <v>44450</v>
      </c>
      <c r="C61" s="1" t="n">
        <v>45577</v>
      </c>
      <c r="D61" t="inlineStr">
        <is>
          <t>VÄSTRA GÖTALANDS LÄN</t>
        </is>
      </c>
      <c r="E61" t="inlineStr">
        <is>
          <t>KUNGÄLV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48312-2021</t>
        </is>
      </c>
      <c r="B62" s="1" t="n">
        <v>44450</v>
      </c>
      <c r="C62" s="1" t="n">
        <v>45577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48345-2021</t>
        </is>
      </c>
      <c r="B63" s="1" t="n">
        <v>44451</v>
      </c>
      <c r="C63" s="1" t="n">
        <v>45577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45577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45577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45577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45577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45577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45577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45577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45577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45577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45577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45577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45577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45577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45577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45577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45577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45577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45577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45577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45577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45577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45577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45577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45577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45577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45577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45577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45577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45577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45577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45577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45577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45577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45577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45577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45577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45577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45577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45577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45577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45577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45577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45577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45577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45577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45577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45577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45577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45577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45577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45577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45577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45577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45577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45577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45577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45577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45577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45577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45577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45577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45577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45577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45577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45577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45577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45577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45577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45577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45577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45577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45577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45577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45577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45577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45577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45577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45577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45577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45577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45577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45577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45577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45577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45577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45577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2024-10-12T13:10:41Z</dcterms:created>
  <dcterms:modified xmlns:dcterms="http://purl.org/dc/terms/" xmlns:xsi="http://www.w3.org/2001/XMLSchema-instance" xsi:type="dcterms:W3CDTF">2024-10-12T13:10:41Z</dcterms:modified>
</cp:coreProperties>
</file>