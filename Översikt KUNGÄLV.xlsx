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46263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46263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46263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46263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46263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46263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46263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48345-2021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44451</v>
      </c>
      <c r="E9" s="1" t="n">
        <v>46263</v>
      </c>
      <c r="F9" t="inlineStr">
        <is>
          <t>VÄSTRA GÖTALANDS LÄN</t>
        </is>
      </c>
      <c r="G9" t="inlineStr">
        <is>
          <t>KUNGÄLV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HYPERLINK("https://klasma.github.io/Logging_1482/artfynd/A 48345-2021 artfynd.xlsx", "A 48345-2021")</f>
        <v/>
      </c>
      <c r="X9">
        <f>HYPERLINK("https://klasma.github.io/Logging_1482/kartor/A 48345-2021 karta.png", "A 48345-2021")</f>
        <v/>
      </c>
      <c r="Y9">
        <f>HYPERLINK("https://klasma.github.io/Logging_1482/kartor_geotiff/A 48345-2021 georefererad karta.tif", "A 48345-2021")</f>
        <v/>
      </c>
      <c r="AA9">
        <f>HYPERLINK("https://klasma.github.io/Logging_1482/klagomål/A 48345-2021 FSC-klagomål.docx", "A 48345-2021")</f>
        <v/>
      </c>
      <c r="AB9">
        <f>HYPERLINK("https://klasma.github.io/Logging_1482/klagomålsmail/A 48345-2021 FSC-klagomål mail.docx", "A 48345-2021")</f>
        <v/>
      </c>
      <c r="AC9">
        <f>HYPERLINK("https://klasma.github.io/Logging_1482/tillsyn/A 48345-2021 tillsynsbegäran.docx", "A 48345-2021")</f>
        <v/>
      </c>
      <c r="AD9">
        <f>HYPERLINK("https://klasma.github.io/Logging_1482/tillsynsmail/A 48345-2021 tillsynsbegäran mail.docx", "A 48345-2021")</f>
        <v/>
      </c>
      <c r="AE9">
        <f>HYPERLINK("https://klasma.github.io/Logging_1482/fåglar/A 48345-2021 prioriterade fågelarter.docx", "A 48345-2021")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46263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46263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46263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46263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46263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Vanlig groda
Fläcknycklar</t>
        </is>
      </c>
      <c r="W14">
        <f>HYPERLINK("https://klasma.github.io/Logging_1482/artfynd/A 5631-2024 artfynd.xlsx", "A 5631-2024")</f>
        <v/>
      </c>
      <c r="X14">
        <f>HYPERLINK("https://klasma.github.io/Logging_1482/kartor/A 5631-2024 karta.png", "A 5631-2024")</f>
        <v/>
      </c>
      <c r="Y14">
        <f>HYPERLINK("https://klasma.github.io/Logging_1482/kartor_geotiff/A 5631-2024 georefererad karta.tif", "A 5631-2024")</f>
        <v/>
      </c>
      <c r="AA14">
        <f>HYPERLINK("https://klasma.github.io/Logging_1482/klagomål/A 5631-2024 FSC-klagomål.docx", "A 5631-2024")</f>
        <v/>
      </c>
      <c r="AB14">
        <f>HYPERLINK("https://klasma.github.io/Logging_1482/klagomålsmail/A 5631-2024 FSC-klagomål mail.docx", "A 5631-2024")</f>
        <v/>
      </c>
      <c r="AC14">
        <f>HYPERLINK("https://klasma.github.io/Logging_1482/tillsyn/A 5631-2024 tillsynsbegäran.docx", "A 5631-2024")</f>
        <v/>
      </c>
      <c r="AD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46263</v>
      </c>
      <c r="F15" t="inlineStr">
        <is>
          <t>VÄSTRA GÖTALANDS LÄN</t>
        </is>
      </c>
      <c r="G15" t="inlineStr">
        <is>
          <t>KUNGÄLV</t>
        </is>
      </c>
      <c r="I15" t="n">
        <v>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Klofibbla
Åkerrödtoppa</t>
        </is>
      </c>
      <c r="W15">
        <f>HYPERLINK("https://klasma.github.io/Logging_1482/artfynd/A 5637-2024 artfynd.xlsx", "A 5637-2024")</f>
        <v/>
      </c>
      <c r="X15">
        <f>HYPERLINK("https://klasma.github.io/Logging_1482/kartor/A 5637-2024 karta.png", "A 5637-2024")</f>
        <v/>
      </c>
      <c r="Y15">
        <f>HYPERLINK("https://klasma.github.io/Logging_1482/kartor_geotiff/A 5637-2024 georefererad karta.tif", "A 5637-2024")</f>
        <v/>
      </c>
      <c r="AA15">
        <f>HYPERLINK("https://klasma.github.io/Logging_1482/klagomål/A 5637-2024 FSC-klagomål.docx", "A 5637-2024")</f>
        <v/>
      </c>
      <c r="AB15">
        <f>HYPERLINK("https://klasma.github.io/Logging_1482/klagomålsmail/A 5637-2024 FSC-klagomål mail.docx", "A 5637-2024")</f>
        <v/>
      </c>
      <c r="AC15">
        <f>HYPERLINK("https://klasma.github.io/Logging_1482/tillsyn/A 5637-2024 tillsynsbegäran.docx", "A 5637-2024")</f>
        <v/>
      </c>
      <c r="AD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46263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57116-2025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46263</v>
      </c>
      <c r="F17" t="inlineStr">
        <is>
          <t>VÄSTRA GÖTALANDS LÄN</t>
        </is>
      </c>
      <c r="G17" t="inlineStr">
        <is>
          <t>KUNGÄLV</t>
        </is>
      </c>
      <c r="I17" t="n">
        <v>3.5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Västlig hakmossa
Spillkråka</t>
        </is>
      </c>
      <c r="W17">
        <f>HYPERLINK("https://klasma.github.io/Logging_1482/artfynd/A 57116-2025 artfynd.xlsx", "A 57116-2025")</f>
        <v/>
      </c>
      <c r="X17">
        <f>HYPERLINK("https://klasma.github.io/Logging_1482/kartor/A 57116-2025 karta.png", "A 57116-2025")</f>
        <v/>
      </c>
      <c r="Y17">
        <f>HYPERLINK("https://klasma.github.io/Logging_1482/kartor_geotiff/A 57116-2025 georefererad karta.tif", "A 57116-2025")</f>
        <v/>
      </c>
      <c r="AA17">
        <f>HYPERLINK("https://klasma.github.io/Logging_1482/klagomål/A 57116-2025 FSC-klagomål.docx", "A 57116-2025")</f>
        <v/>
      </c>
      <c r="AB17">
        <f>HYPERLINK("https://klasma.github.io/Logging_1482/klagomålsmail/A 57116-2025 FSC-klagomål mail.docx", "A 57116-2025")</f>
        <v/>
      </c>
      <c r="AC17">
        <f>HYPERLINK("https://klasma.github.io/Logging_1482/tillsyn/A 57116-2025 tillsynsbegäran.docx", "A 57116-2025")</f>
        <v/>
      </c>
      <c r="AD17">
        <f>HYPERLINK("https://klasma.github.io/Logging_1482/tillsynsmail/A 57116-2025 tillsynsbegäran mail.docx", "A 57116-2025")</f>
        <v/>
      </c>
      <c r="AE17">
        <f>HYPERLINK("https://klasma.github.io/Logging_1482/fåglar/A 57116-2025 prioriterade fågelarter.docx", "A 57116-2025")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46263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46263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46263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46263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46263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46263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46263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46263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46263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46263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46263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46263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46263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46263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46263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46263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30170-2022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44757</v>
      </c>
      <c r="E34" s="1" t="n">
        <v>46263</v>
      </c>
      <c r="F34" t="inlineStr">
        <is>
          <t>VÄSTRA GÖTALANDS LÄN</t>
        </is>
      </c>
      <c r="G34" t="inlineStr">
        <is>
          <t>KUNGÄLV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46263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46263</v>
      </c>
      <c r="F36" t="inlineStr">
        <is>
          <t>VÄSTRA GÖTALANDS LÄN</t>
        </is>
      </c>
      <c r="G36" t="inlineStr">
        <is>
          <t>KUNGÄLV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45391</v>
      </c>
      <c r="E37" s="1" t="n">
        <v>46263</v>
      </c>
      <c r="F37" t="inlineStr">
        <is>
          <t>VÄSTRA GÖTALANDS LÄN</t>
        </is>
      </c>
      <c r="G37" t="inlineStr">
        <is>
          <t>KUNGÄLV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45308</v>
      </c>
      <c r="E38" s="1" t="n">
        <v>46263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52932-2025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45957</v>
      </c>
      <c r="E39" s="1" t="n">
        <v>46263</v>
      </c>
      <c r="F39" t="inlineStr">
        <is>
          <t>VÄSTRA GÖTALANDS LÄN</t>
        </is>
      </c>
      <c r="G39" t="inlineStr">
        <is>
          <t>KUNGÄLV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17922-2025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45758</v>
      </c>
      <c r="E40" s="1" t="n">
        <v>46263</v>
      </c>
      <c r="F40" t="inlineStr">
        <is>
          <t>VÄSTRA GÖTALANDS LÄN</t>
        </is>
      </c>
      <c r="G40" t="inlineStr">
        <is>
          <t>KUNGÄLV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46263</v>
      </c>
      <c r="F41" t="inlineStr">
        <is>
          <t>VÄSTRA GÖTALANDS LÄN</t>
        </is>
      </c>
      <c r="G41" t="inlineStr">
        <is>
          <t>KUNGÄLV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10679-2025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45721</v>
      </c>
      <c r="E42" s="1" t="n">
        <v>46263</v>
      </c>
      <c r="F42" t="inlineStr">
        <is>
          <t>VÄSTRA GÖTALANDS LÄN</t>
        </is>
      </c>
      <c r="G42" t="inlineStr">
        <is>
          <t>KUNGÄLV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11237-2025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45726</v>
      </c>
      <c r="E43" s="1" t="n">
        <v>46263</v>
      </c>
      <c r="F43" t="inlineStr">
        <is>
          <t>VÄSTRA GÖTALANDS LÄN</t>
        </is>
      </c>
      <c r="G43" t="inlineStr">
        <is>
          <t>KUNGÄLV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46263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45721</v>
      </c>
      <c r="E45" s="1" t="n">
        <v>46263</v>
      </c>
      <c r="F45" t="inlineStr">
        <is>
          <t>VÄSTRA GÖTALANDS LÄN</t>
        </is>
      </c>
      <c r="G45" t="inlineStr">
        <is>
          <t>KUNGÄLV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74285-2021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44558</v>
      </c>
      <c r="E46" s="1" t="n">
        <v>46263</v>
      </c>
      <c r="F46" t="inlineStr">
        <is>
          <t>VÄSTRA GÖTALANDS LÄN</t>
        </is>
      </c>
      <c r="G46" t="inlineStr">
        <is>
          <t>KUNGÄLV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43520-2022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44837</v>
      </c>
      <c r="E47" s="1" t="n">
        <v>46263</v>
      </c>
      <c r="F47" t="inlineStr">
        <is>
          <t>VÄSTRA GÖTALANDS LÄN</t>
        </is>
      </c>
      <c r="G47" t="inlineStr">
        <is>
          <t>KUNGÄLV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46263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45482</v>
      </c>
      <c r="E49" s="1" t="n">
        <v>46263</v>
      </c>
      <c r="F49" t="inlineStr">
        <is>
          <t>VÄSTRA GÖTALANDS LÄN</t>
        </is>
      </c>
      <c r="G49" t="inlineStr">
        <is>
          <t>KUNGÄLV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61417-2022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44916</v>
      </c>
      <c r="E50" s="1" t="n">
        <v>46263</v>
      </c>
      <c r="F50" t="inlineStr">
        <is>
          <t>VÄSTRA GÖTALANDS LÄN</t>
        </is>
      </c>
      <c r="G50" t="inlineStr">
        <is>
          <t>KUNGÄLV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46263</v>
      </c>
      <c r="F51" t="inlineStr">
        <is>
          <t>VÄSTRA GÖTALANDS LÄN</t>
        </is>
      </c>
      <c r="G51" t="inlineStr">
        <is>
          <t>KUNGÄLV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45120</v>
      </c>
      <c r="E52" s="1" t="n">
        <v>46263</v>
      </c>
      <c r="F52" t="inlineStr">
        <is>
          <t>VÄSTRA GÖTALANDS LÄN</t>
        </is>
      </c>
      <c r="G52" t="inlineStr">
        <is>
          <t>KUNGÄLV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32847-2023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45124</v>
      </c>
      <c r="E53" s="1" t="n">
        <v>46263</v>
      </c>
      <c r="F53" t="inlineStr">
        <is>
          <t>VÄSTRA GÖTALANDS LÄN</t>
        </is>
      </c>
      <c r="G53" t="inlineStr">
        <is>
          <t>KUNGÄLV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8334-2023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44975</v>
      </c>
      <c r="E54" s="1" t="n">
        <v>46263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34244-2025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45844</v>
      </c>
      <c r="E55" s="1" t="n">
        <v>46263</v>
      </c>
      <c r="F55" t="inlineStr">
        <is>
          <t>VÄSTRA GÖTALANDS LÄN</t>
        </is>
      </c>
      <c r="G55" t="inlineStr">
        <is>
          <t>KUNGÄLV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25624-2025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45803</v>
      </c>
      <c r="E56" s="1" t="n">
        <v>46263</v>
      </c>
      <c r="F56" t="inlineStr">
        <is>
          <t>VÄSTRA GÖTALANDS LÄN</t>
        </is>
      </c>
      <c r="G56" t="inlineStr">
        <is>
          <t>KUNGÄLV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41442-2025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45869</v>
      </c>
      <c r="E57" s="1" t="n">
        <v>46263</v>
      </c>
      <c r="F57" t="inlineStr">
        <is>
          <t>VÄSTRA GÖTALANDS LÄN</t>
        </is>
      </c>
      <c r="G57" t="inlineStr">
        <is>
          <t>KUNGÄLV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45324</v>
      </c>
      <c r="E58" s="1" t="n">
        <v>46263</v>
      </c>
      <c r="F58" t="inlineStr">
        <is>
          <t>VÄSTRA GÖTALANDS LÄN</t>
        </is>
      </c>
      <c r="G58" t="inlineStr">
        <is>
          <t>KUNGÄLV</t>
        </is>
      </c>
      <c r="I58" t="n">
        <v>14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45664</v>
      </c>
      <c r="E59" s="1" t="n">
        <v>46263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34366-2022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46263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45082</v>
      </c>
      <c r="E61" s="1" t="n">
        <v>46263</v>
      </c>
      <c r="F61" t="inlineStr">
        <is>
          <t>VÄSTRA GÖTALANDS LÄN</t>
        </is>
      </c>
      <c r="G61" t="inlineStr">
        <is>
          <t>KUNGÄLV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46048</v>
      </c>
      <c r="E62" s="1" t="n">
        <v>46263</v>
      </c>
      <c r="F62" t="inlineStr">
        <is>
          <t>VÄSTRA GÖTALANDS LÄN</t>
        </is>
      </c>
      <c r="G62" t="inlineStr">
        <is>
          <t>KUNGÄLV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44928</v>
      </c>
      <c r="E63" s="1" t="n">
        <v>46263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6946-2026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46057</v>
      </c>
      <c r="E64" s="1" t="n">
        <v>46263</v>
      </c>
      <c r="F64" t="inlineStr">
        <is>
          <t>VÄSTRA GÖTALANDS LÄN</t>
        </is>
      </c>
      <c r="G64" t="inlineStr">
        <is>
          <t>KUNGÄLV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46263</v>
      </c>
      <c r="F65" t="inlineStr">
        <is>
          <t>VÄSTRA GÖTALANDS LÄN</t>
        </is>
      </c>
      <c r="G65" t="inlineStr">
        <is>
          <t>KUNGÄLV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45347</v>
      </c>
      <c r="E66" s="1" t="n">
        <v>46263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45877</v>
      </c>
      <c r="E67" s="1" t="n">
        <v>46263</v>
      </c>
      <c r="F67" t="inlineStr">
        <is>
          <t>VÄSTRA GÖTALANDS LÄN</t>
        </is>
      </c>
      <c r="G67" t="inlineStr">
        <is>
          <t>KUNGÄLV</t>
        </is>
      </c>
      <c r="H67" t="inlineStr">
        <is>
          <t>Kyrkan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44624</v>
      </c>
      <c r="E68" s="1" t="n">
        <v>46263</v>
      </c>
      <c r="F68" t="inlineStr">
        <is>
          <t>VÄSTRA GÖTALANDS LÄN</t>
        </is>
      </c>
      <c r="G68" t="inlineStr">
        <is>
          <t>KUNGÄLV</t>
        </is>
      </c>
      <c r="I68" t="n">
        <v>13.3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45757</v>
      </c>
      <c r="E69" s="1" t="n">
        <v>46263</v>
      </c>
      <c r="F69" t="inlineStr">
        <is>
          <t>VÄSTRA GÖTALANDS LÄN</t>
        </is>
      </c>
      <c r="G69" t="inlineStr">
        <is>
          <t>KUNGÄLV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13990-2026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46098</v>
      </c>
      <c r="E70" s="1" t="n">
        <v>46263</v>
      </c>
      <c r="F70" t="inlineStr">
        <is>
          <t>VÄSTRA GÖTALANDS LÄN</t>
        </is>
      </c>
      <c r="G70" t="inlineStr">
        <is>
          <t>KUNGÄLV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19531-2023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45050</v>
      </c>
      <c r="E71" s="1" t="n">
        <v>46263</v>
      </c>
      <c r="F71" t="inlineStr">
        <is>
          <t>VÄSTRA GÖTALANDS LÄN</t>
        </is>
      </c>
      <c r="G71" t="inlineStr">
        <is>
          <t>KUNGÄLV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46263</v>
      </c>
      <c r="F72" t="inlineStr">
        <is>
          <t>VÄSTRA GÖTALANDS LÄN</t>
        </is>
      </c>
      <c r="G72" t="inlineStr">
        <is>
          <t>KUNGÄLV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45694</v>
      </c>
      <c r="E73" s="1" t="n">
        <v>46263</v>
      </c>
      <c r="F73" t="inlineStr">
        <is>
          <t>VÄSTRA GÖTALANDS LÄN</t>
        </is>
      </c>
      <c r="G73" t="inlineStr">
        <is>
          <t>KUNGÄLV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62979-2023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45271</v>
      </c>
      <c r="E74" s="1" t="n">
        <v>46263</v>
      </c>
      <c r="F74" t="inlineStr">
        <is>
          <t>VÄSTRA GÖTALANDS LÄN</t>
        </is>
      </c>
      <c r="G74" t="inlineStr">
        <is>
          <t>KUNGÄLV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46263</v>
      </c>
      <c r="F75" t="inlineStr">
        <is>
          <t>VÄSTRA GÖTALANDS LÄN</t>
        </is>
      </c>
      <c r="G75" t="inlineStr">
        <is>
          <t>KUNGÄLV</t>
        </is>
      </c>
      <c r="I75" t="n">
        <v>8.199999999999999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45751</v>
      </c>
      <c r="E76" s="1" t="n">
        <v>46263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46263</v>
      </c>
      <c r="F77" t="inlineStr">
        <is>
          <t>VÄSTRA GÖTALANDS LÄN</t>
        </is>
      </c>
      <c r="G77" t="inlineStr">
        <is>
          <t>KUNGÄLV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46263</v>
      </c>
      <c r="F78" t="inlineStr">
        <is>
          <t>VÄSTRA GÖTALANDS LÄN</t>
        </is>
      </c>
      <c r="G78" t="inlineStr">
        <is>
          <t>KUNGÄLV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46263</v>
      </c>
      <c r="F79" t="inlineStr">
        <is>
          <t>VÄSTRA GÖTALANDS LÄN</t>
        </is>
      </c>
      <c r="G79" t="inlineStr">
        <is>
          <t>KUNGÄLV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44543</v>
      </c>
      <c r="E80" s="1" t="n">
        <v>46263</v>
      </c>
      <c r="F80" t="inlineStr">
        <is>
          <t>VÄSTRA GÖTALANDS LÄN</t>
        </is>
      </c>
      <c r="G80" t="inlineStr">
        <is>
          <t>KUNGÄLV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46263</v>
      </c>
      <c r="F81" t="inlineStr">
        <is>
          <t>VÄSTRA GÖTALANDS LÄN</t>
        </is>
      </c>
      <c r="G81" t="inlineStr">
        <is>
          <t>KUNGÄLV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45470</v>
      </c>
      <c r="E82" s="1" t="n">
        <v>46263</v>
      </c>
      <c r="F82" t="inlineStr">
        <is>
          <t>VÄSTRA GÖTALANDS LÄN</t>
        </is>
      </c>
      <c r="G82" t="inlineStr">
        <is>
          <t>KUNGÄLV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44989</v>
      </c>
      <c r="E83" s="1" t="n">
        <v>46263</v>
      </c>
      <c r="F83" t="inlineStr">
        <is>
          <t>VÄSTRA GÖTALANDS LÄN</t>
        </is>
      </c>
      <c r="G83" t="inlineStr">
        <is>
          <t>KUNGÄLV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62128-2021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44502</v>
      </c>
      <c r="E84" s="1" t="n">
        <v>46263</v>
      </c>
      <c r="F84" t="inlineStr">
        <is>
          <t>VÄSTRA GÖTALANDS LÄN</t>
        </is>
      </c>
      <c r="G84" t="inlineStr">
        <is>
          <t>KUNGÄLV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45058</v>
      </c>
      <c r="E85" s="1" t="n">
        <v>46263</v>
      </c>
      <c r="F85" t="inlineStr">
        <is>
          <t>VÄSTRA GÖTALANDS LÄN</t>
        </is>
      </c>
      <c r="G85" t="inlineStr">
        <is>
          <t>KUNGÄLV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45426</v>
      </c>
      <c r="E86" s="1" t="n">
        <v>46263</v>
      </c>
      <c r="F86" t="inlineStr">
        <is>
          <t>VÄSTRA GÖTALANDS LÄN</t>
        </is>
      </c>
      <c r="G86" t="inlineStr">
        <is>
          <t>KUNGÄLV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46263</v>
      </c>
      <c r="F87" t="inlineStr">
        <is>
          <t>VÄSTRA GÖTALANDS LÄN</t>
        </is>
      </c>
      <c r="G87" t="inlineStr">
        <is>
          <t>KUNGÄLV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46263</v>
      </c>
      <c r="F88" t="inlineStr">
        <is>
          <t>VÄSTRA GÖTALANDS LÄN</t>
        </is>
      </c>
      <c r="G88" t="inlineStr">
        <is>
          <t>KUNGÄLV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46263</v>
      </c>
      <c r="F89" t="inlineStr">
        <is>
          <t>VÄSTRA GÖTALANDS LÄN</t>
        </is>
      </c>
      <c r="G89" t="inlineStr">
        <is>
          <t>KUNGÄLV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39714-2024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45552</v>
      </c>
      <c r="E90" s="1" t="n">
        <v>46263</v>
      </c>
      <c r="F90" t="inlineStr">
        <is>
          <t>VÄSTRA GÖTALANDS LÄN</t>
        </is>
      </c>
      <c r="G90" t="inlineStr">
        <is>
          <t>KUNGÄLV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46263</v>
      </c>
      <c r="F91" t="inlineStr">
        <is>
          <t>VÄSTRA GÖTALANDS LÄN</t>
        </is>
      </c>
      <c r="G91" t="inlineStr">
        <is>
          <t>KUNGÄLV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45222</v>
      </c>
      <c r="E92" s="1" t="n">
        <v>46263</v>
      </c>
      <c r="F92" t="inlineStr">
        <is>
          <t>VÄSTRA GÖTALANDS LÄN</t>
        </is>
      </c>
      <c r="G92" t="inlineStr">
        <is>
          <t>KUNGÄLV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46157</v>
      </c>
      <c r="E93" s="1" t="n">
        <v>46263</v>
      </c>
      <c r="F93" t="inlineStr">
        <is>
          <t>VÄSTRA GÖTALANDS LÄN</t>
        </is>
      </c>
      <c r="G93" t="inlineStr">
        <is>
          <t>KUNGÄLV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45837</v>
      </c>
      <c r="E94" s="1" t="n">
        <v>46263</v>
      </c>
      <c r="F94" t="inlineStr">
        <is>
          <t>VÄSTRA GÖTALANDS LÄN</t>
        </is>
      </c>
      <c r="G94" t="inlineStr">
        <is>
          <t>KUNGÄLV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46163</v>
      </c>
      <c r="E95" s="1" t="n">
        <v>46263</v>
      </c>
      <c r="F95" t="inlineStr">
        <is>
          <t>VÄSTRA GÖTALANDS LÄN</t>
        </is>
      </c>
      <c r="G95" t="inlineStr">
        <is>
          <t>KUNGÄLV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46263</v>
      </c>
      <c r="F96" t="inlineStr">
        <is>
          <t>VÄSTRA GÖTALANDS LÄN</t>
        </is>
      </c>
      <c r="G96" t="inlineStr">
        <is>
          <t>KUNGÄLV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29952-2026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46263</v>
      </c>
      <c r="F97" t="inlineStr">
        <is>
          <t>VÄSTRA GÖTALANDS LÄN</t>
        </is>
      </c>
      <c r="G97" t="inlineStr">
        <is>
          <t>KUNGÄLV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46263</v>
      </c>
      <c r="F98" t="inlineStr">
        <is>
          <t>VÄSTRA GÖTALANDS LÄN</t>
        </is>
      </c>
      <c r="G98" t="inlineStr">
        <is>
          <t>KUNGÄLV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30738-2026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46211</v>
      </c>
      <c r="E99" s="1" t="n">
        <v>46263</v>
      </c>
      <c r="F99" t="inlineStr">
        <is>
          <t>VÄSTRA GÖTALANDS LÄN</t>
        </is>
      </c>
      <c r="G99" t="inlineStr">
        <is>
          <t>KUNGÄLV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30859-2026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46212</v>
      </c>
      <c r="E100" s="1" t="n">
        <v>46263</v>
      </c>
      <c r="F100" t="inlineStr">
        <is>
          <t>VÄSTRA GÖTALANDS LÄN</t>
        </is>
      </c>
      <c r="G100" t="inlineStr">
        <is>
          <t>KUNGÄLV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46254</v>
      </c>
      <c r="E101" s="1" t="n">
        <v>46263</v>
      </c>
      <c r="F101" t="inlineStr">
        <is>
          <t>VÄSTRA GÖTALANDS LÄN</t>
        </is>
      </c>
      <c r="G101" t="inlineStr">
        <is>
          <t>KUNGÄLV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46263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46254</v>
      </c>
      <c r="E103" s="1" t="n">
        <v>46263</v>
      </c>
      <c r="F103" t="inlineStr">
        <is>
          <t>VÄSTRA GÖTALANDS LÄN</t>
        </is>
      </c>
      <c r="G103" t="inlineStr">
        <is>
          <t>KUNGÄLV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46263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2026-08-29T01:53:30Z</dcterms:created>
  <dcterms:modified xmlns:dcterms="http://purl.org/dc/terms/" xmlns:xsi="http://www.w3.org/2001/XMLSchema-instance" xsi:type="dcterms:W3CDTF">2026-08-29T01:53:30Z</dcterms:modified>
</cp:coreProperties>
</file>