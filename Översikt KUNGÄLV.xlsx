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46253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46253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30872-2026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46212</v>
      </c>
      <c r="E11" s="1" t="n">
        <v>46253</v>
      </c>
      <c r="F11" t="inlineStr">
        <is>
          <t>VÄSTRA GÖTALANDS LÄN</t>
        </is>
      </c>
      <c r="G11" t="inlineStr">
        <is>
          <t>KUNGÄLV</t>
        </is>
      </c>
      <c r="I11" t="n">
        <v>2.4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Platt fjädermossa
Spillkråka</t>
        </is>
      </c>
      <c r="W11">
        <f>HYPERLINK("https://klasma.github.io/Logging_1482/artfynd/A 30872-2026 artfynd.xlsx", "A 30872-2026")</f>
        <v/>
      </c>
      <c r="X11">
        <f>HYPERLINK("https://klasma.github.io/Logging_1482/kartor/A 30872-2026 karta.png", "A 30872-2026")</f>
        <v/>
      </c>
      <c r="Y11">
        <f>HYPERLINK("https://klasma.github.io/Logging_1482/kartor_geotiff/A 30872-2026 georefererad karta.tif", "A 30872-2026")</f>
        <v/>
      </c>
      <c r="AA11">
        <f>HYPERLINK("https://klasma.github.io/Logging_1482/klagomål/A 30872-2026 FSC-klagomål.docx", "A 30872-2026")</f>
        <v/>
      </c>
      <c r="AB11">
        <f>HYPERLINK("https://klasma.github.io/Logging_1482/klagomålsmail/A 30872-2026 FSC-klagomål mail.docx", "A 30872-2026")</f>
        <v/>
      </c>
      <c r="AC11">
        <f>HYPERLINK("https://klasma.github.io/Logging_1482/tillsyn/A 30872-2026 tillsynsbegäran.docx", "A 30872-2026")</f>
        <v/>
      </c>
      <c r="AD11">
        <f>HYPERLINK("https://klasma.github.io/Logging_1482/tillsynsmail/A 30872-2026 tillsynsbegäran mail.docx", "A 30872-2026")</f>
        <v/>
      </c>
      <c r="AE11">
        <f>HYPERLINK("https://klasma.github.io/Logging_1482/fåglar/A 30872-2026 prioriterade fågelarter.docx", "A 30872-2026")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46253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8558-2024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45355</v>
      </c>
      <c r="E13" s="1" t="n">
        <v>46253</v>
      </c>
      <c r="F13" t="inlineStr">
        <is>
          <t>VÄSTRA GÖTALANDS LÄN</t>
        </is>
      </c>
      <c r="G13" t="inlineStr">
        <is>
          <t>KUNGÄLV</t>
        </is>
      </c>
      <c r="I13" t="n">
        <v>12.5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Gulsparv
Spillkråka
Revlummer</t>
        </is>
      </c>
      <c r="W13">
        <f>HYPERLINK("https://klasma.github.io/Logging_1482/artfynd/A 8558-2024 artfynd.xlsx", "A 8558-2024")</f>
        <v/>
      </c>
      <c r="X13">
        <f>HYPERLINK("https://klasma.github.io/Logging_1482/kartor/A 8558-2024 karta.png", "A 8558-2024")</f>
        <v/>
      </c>
      <c r="Y13">
        <f>HYPERLINK("https://klasma.github.io/Logging_1482/kartor_geotiff/A 8558-2024 georefererad karta.tif", "A 8558-2024")</f>
        <v/>
      </c>
      <c r="AA13">
        <f>HYPERLINK("https://klasma.github.io/Logging_1482/klagomål/A 8558-2024 FSC-klagomål.docx", "A 8558-2024")</f>
        <v/>
      </c>
      <c r="AB13">
        <f>HYPERLINK("https://klasma.github.io/Logging_1482/klagomålsmail/A 8558-2024 FSC-klagomål mail.docx", "A 8558-2024")</f>
        <v/>
      </c>
      <c r="AC13">
        <f>HYPERLINK("https://klasma.github.io/Logging_1482/tillsyn/A 8558-2024 tillsynsbegäran.docx", "A 8558-2024")</f>
        <v/>
      </c>
      <c r="AD13">
        <f>HYPERLINK("https://klasma.github.io/Logging_1482/tillsynsmail/A 8558-2024 tillsynsbegäran mail.docx", "A 8558-2024")</f>
        <v/>
      </c>
      <c r="AE13">
        <f>HYPERLINK("https://klasma.github.io/Logging_1482/fåglar/A 8558-2024 prioriterade fågelarter.docx", "A 8558-2024")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46253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46253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46253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46253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46253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46253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46253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46253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46253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46253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46253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46253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46253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46253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46253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46253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46253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44757</v>
      </c>
      <c r="E34" s="1" t="n">
        <v>46253</v>
      </c>
      <c r="F34" t="inlineStr">
        <is>
          <t>VÄSTRA GÖTALANDS LÄN</t>
        </is>
      </c>
      <c r="G34" t="inlineStr">
        <is>
          <t>KUNGÄLV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46253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46253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46253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46253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46253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43520-2022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46253</v>
      </c>
      <c r="F40" t="inlineStr">
        <is>
          <t>VÄSTRA GÖTALANDS LÄN</t>
        </is>
      </c>
      <c r="G40" t="inlineStr">
        <is>
          <t>KUNGÄLV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46253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46253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46253</v>
      </c>
      <c r="F43" t="inlineStr">
        <is>
          <t>VÄSTRA GÖTALANDS LÄN</t>
        </is>
      </c>
      <c r="G43" t="inlineStr">
        <is>
          <t>KUNGÄLV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46253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34366-2022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44792</v>
      </c>
      <c r="E45" s="1" t="n">
        <v>46253</v>
      </c>
      <c r="F45" t="inlineStr">
        <is>
          <t>VÄSTRA GÖTALANDS LÄN</t>
        </is>
      </c>
      <c r="G45" t="inlineStr">
        <is>
          <t>KUNGÄLV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46253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46253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44975</v>
      </c>
      <c r="E48" s="1" t="n">
        <v>46253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6946-2026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46057</v>
      </c>
      <c r="E49" s="1" t="n">
        <v>46253</v>
      </c>
      <c r="F49" t="inlineStr">
        <is>
          <t>VÄSTRA GÖTALANDS LÄN</t>
        </is>
      </c>
      <c r="G49" t="inlineStr">
        <is>
          <t>KUNGÄLV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46253</v>
      </c>
      <c r="F50" t="inlineStr">
        <is>
          <t>VÄSTRA GÖTALANDS LÄN</t>
        </is>
      </c>
      <c r="G50" t="inlineStr">
        <is>
          <t>KUNGÄLV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46253</v>
      </c>
      <c r="F51" t="inlineStr">
        <is>
          <t>VÄSTRA GÖTALANDS LÄN</t>
        </is>
      </c>
      <c r="G51" t="inlineStr">
        <is>
          <t>KUNGÄLV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45324</v>
      </c>
      <c r="E52" s="1" t="n">
        <v>46253</v>
      </c>
      <c r="F52" t="inlineStr">
        <is>
          <t>VÄSTRA GÖTALANDS LÄN</t>
        </is>
      </c>
      <c r="G52" t="inlineStr">
        <is>
          <t>KUNGÄLV</t>
        </is>
      </c>
      <c r="I52" t="n">
        <v>14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46253</v>
      </c>
      <c r="F53" t="inlineStr">
        <is>
          <t>VÄSTRA GÖTALANDS LÄN</t>
        </is>
      </c>
      <c r="G53" t="inlineStr">
        <is>
          <t>KUNGÄLV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46253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45664</v>
      </c>
      <c r="E55" s="1" t="n">
        <v>46253</v>
      </c>
      <c r="F55" t="inlineStr">
        <is>
          <t>VÄSTRA GÖTALANDS LÄN</t>
        </is>
      </c>
      <c r="G55" t="inlineStr">
        <is>
          <t>KUNGÄLV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46253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34244-2025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45844</v>
      </c>
      <c r="E57" s="1" t="n">
        <v>46253</v>
      </c>
      <c r="F57" t="inlineStr">
        <is>
          <t>VÄSTRA GÖTALANDS LÄN</t>
        </is>
      </c>
      <c r="G57" t="inlineStr">
        <is>
          <t>KUNGÄLV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46253</v>
      </c>
      <c r="F58" t="inlineStr">
        <is>
          <t>VÄSTRA GÖTALANDS LÄN</t>
        </is>
      </c>
      <c r="G58" t="inlineStr">
        <is>
          <t>KUNGÄLV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46253</v>
      </c>
      <c r="F59" t="inlineStr">
        <is>
          <t>VÄSTRA GÖTALANDS LÄN</t>
        </is>
      </c>
      <c r="G59" t="inlineStr">
        <is>
          <t>KUNGÄLV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46253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46253</v>
      </c>
      <c r="F61" t="inlineStr">
        <is>
          <t>VÄSTRA GÖTALANDS LÄN</t>
        </is>
      </c>
      <c r="G61" t="inlineStr">
        <is>
          <t>KUNGÄLV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46253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46253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46253</v>
      </c>
      <c r="F64" t="inlineStr">
        <is>
          <t>VÄSTRA GÖTALANDS LÄN</t>
        </is>
      </c>
      <c r="G64" t="inlineStr">
        <is>
          <t>KUNGÄLV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46253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46253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46253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46253</v>
      </c>
      <c r="F68" t="inlineStr">
        <is>
          <t>VÄSTRA GÖTALANDS LÄN</t>
        </is>
      </c>
      <c r="G68" t="inlineStr">
        <is>
          <t>KUNGÄLV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46253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46253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46163</v>
      </c>
      <c r="E71" s="1" t="n">
        <v>46253</v>
      </c>
      <c r="F71" t="inlineStr">
        <is>
          <t>VÄSTRA GÖTALANDS LÄN</t>
        </is>
      </c>
      <c r="G71" t="inlineStr">
        <is>
          <t>KUNGÄLV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46253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46212</v>
      </c>
      <c r="E73" s="1" t="n">
        <v>46253</v>
      </c>
      <c r="F73" t="inlineStr">
        <is>
          <t>VÄSTRA GÖTALANDS LÄN</t>
        </is>
      </c>
      <c r="G73" t="inlineStr">
        <is>
          <t>KUNGÄLV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46253</v>
      </c>
      <c r="F74" t="inlineStr">
        <is>
          <t>VÄSTRA GÖTALANDS LÄN</t>
        </is>
      </c>
      <c r="G74" t="inlineStr">
        <is>
          <t>KUNGÄLV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46211</v>
      </c>
      <c r="E75" s="1" t="n">
        <v>46253</v>
      </c>
      <c r="F75" t="inlineStr">
        <is>
          <t>VÄSTRA GÖTALANDS LÄN</t>
        </is>
      </c>
      <c r="G75" t="inlineStr">
        <is>
          <t>KUNGÄLV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46253</v>
      </c>
      <c r="F76" t="inlineStr">
        <is>
          <t>VÄSTRA GÖTALANDS LÄN</t>
        </is>
      </c>
      <c r="G76" t="inlineStr">
        <is>
          <t>KUNGÄLV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45694</v>
      </c>
      <c r="E77" s="1" t="n">
        <v>46253</v>
      </c>
      <c r="F77" t="inlineStr">
        <is>
          <t>VÄSTRA GÖTALANDS LÄN</t>
        </is>
      </c>
      <c r="G77" t="inlineStr">
        <is>
          <t>KUNGÄLV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62979-2023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45271</v>
      </c>
      <c r="E78" s="1" t="n">
        <v>46253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46253</v>
      </c>
      <c r="F79" t="inlineStr">
        <is>
          <t>VÄSTRA GÖTALANDS LÄN</t>
        </is>
      </c>
      <c r="G79" t="inlineStr">
        <is>
          <t>KUNGÄLV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46253</v>
      </c>
      <c r="F80" t="inlineStr">
        <is>
          <t>VÄSTRA GÖTALANDS LÄN</t>
        </is>
      </c>
      <c r="G80" t="inlineStr">
        <is>
          <t>KUNGÄLV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46253</v>
      </c>
      <c r="F81" t="inlineStr">
        <is>
          <t>VÄSTRA GÖTALANDS LÄN</t>
        </is>
      </c>
      <c r="G81" t="inlineStr">
        <is>
          <t>KUNGÄLV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46253</v>
      </c>
      <c r="F82" t="inlineStr">
        <is>
          <t>VÄSTRA GÖTALANDS LÄN</t>
        </is>
      </c>
      <c r="G82" t="inlineStr">
        <is>
          <t>KUNGÄLV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46253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46253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46253</v>
      </c>
      <c r="F85" t="inlineStr">
        <is>
          <t>VÄSTRA GÖTALANDS LÄN</t>
        </is>
      </c>
      <c r="G85" t="inlineStr">
        <is>
          <t>KUNGÄLV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46253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46253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46253</v>
      </c>
      <c r="F88" t="inlineStr">
        <is>
          <t>VÄSTRA GÖTALANDS LÄN</t>
        </is>
      </c>
      <c r="G88" t="inlineStr">
        <is>
          <t>KUNGÄLV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46253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46253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46253</v>
      </c>
      <c r="F91" t="inlineStr">
        <is>
          <t>VÄSTRA GÖTALANDS LÄN</t>
        </is>
      </c>
      <c r="G91" t="inlineStr">
        <is>
          <t>KUNGÄLV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46253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46253</v>
      </c>
      <c r="F93" t="inlineStr">
        <is>
          <t>VÄSTRA GÖTALANDS LÄN</t>
        </is>
      </c>
      <c r="G93" t="inlineStr">
        <is>
          <t>KUNGÄLV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46253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46253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46253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46253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46253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46253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817-2024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45371</v>
      </c>
      <c r="E100" s="1" t="n">
        <v>46253</v>
      </c>
      <c r="F100" t="inlineStr">
        <is>
          <t>VÄSTRA GÖTALANDS LÄN</t>
        </is>
      </c>
      <c r="G100" t="inlineStr">
        <is>
          <t>KUNGÄLV</t>
        </is>
      </c>
      <c r="H100" t="inlineStr">
        <is>
          <t>Övriga statliga verk och myndigheter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2026-08-19T01:48:41Z</dcterms:created>
  <dcterms:modified xmlns:dcterms="http://purl.org/dc/terms/" xmlns:xsi="http://www.w3.org/2001/XMLSchema-instance" xsi:type="dcterms:W3CDTF">2026-08-19T01:48:41Z</dcterms:modified>
</cp:coreProperties>
</file>