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46252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46252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46252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46252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46252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8558-2024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45355</v>
      </c>
      <c r="E12" s="1" t="n">
        <v>46252</v>
      </c>
      <c r="F12" t="inlineStr">
        <is>
          <t>VÄSTRA GÖTALANDS LÄN</t>
        </is>
      </c>
      <c r="G12" t="inlineStr">
        <is>
          <t>KUNGÄLV</t>
        </is>
      </c>
      <c r="I12" t="n">
        <v>12.5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Gulsparv
Spillkråka
Revlummer</t>
        </is>
      </c>
      <c r="W12">
        <f>HYPERLINK("https://klasma.github.io/Logging_1482/artfynd/A 8558-2024 artfynd.xlsx", "A 8558-2024")</f>
        <v/>
      </c>
      <c r="X12">
        <f>HYPERLINK("https://klasma.github.io/Logging_1482/kartor/A 8558-2024 karta.png", "A 8558-2024")</f>
        <v/>
      </c>
      <c r="Y12">
        <f>HYPERLINK("https://klasma.github.io/Logging_1482/kartor_geotiff/A 8558-2024 georefererad karta.tif", "A 8558-2024")</f>
        <v/>
      </c>
      <c r="AA12">
        <f>HYPERLINK("https://klasma.github.io/Logging_1482/klagomål/A 8558-2024 FSC-klagomål.docx", "A 8558-2024")</f>
        <v/>
      </c>
      <c r="AB12">
        <f>HYPERLINK("https://klasma.github.io/Logging_1482/klagomålsmail/A 8558-2024 FSC-klagomål mail.docx", "A 8558-2024")</f>
        <v/>
      </c>
      <c r="AC12">
        <f>HYPERLINK("https://klasma.github.io/Logging_1482/tillsyn/A 8558-2024 tillsynsbegäran.docx", "A 8558-2024")</f>
        <v/>
      </c>
      <c r="AD12">
        <f>HYPERLINK("https://klasma.github.io/Logging_1482/tillsynsmail/A 8558-2024 tillsynsbegäran mail.docx", "A 8558-2024")</f>
        <v/>
      </c>
      <c r="AE12">
        <f>HYPERLINK("https://klasma.github.io/Logging_1482/fåglar/A 8558-2024 prioriterade fågelarter.docx", "A 8558-2024")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46252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46252</v>
      </c>
      <c r="F16" t="inlineStr">
        <is>
          <t>VÄSTRA GÖTALANDS LÄN</t>
        </is>
      </c>
      <c r="G16" t="inlineStr">
        <is>
          <t>KUNGÄLV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Västlig hakmossa
Spillkråka</t>
        </is>
      </c>
      <c r="W16">
        <f>HYPERLINK("https://klasma.github.io/Logging_1482/artfynd/A 53007-2025 artfynd.xlsx", "A 53007-2025")</f>
        <v/>
      </c>
      <c r="X16">
        <f>HYPERLINK("https://klasma.github.io/Logging_1482/kartor/A 53007-2025 karta.png", "A 53007-2025")</f>
        <v/>
      </c>
      <c r="Y16">
        <f>HYPERLINK("https://klasma.github.io/Logging_1482/kartor_geotiff/A 53007-2025 georefererad karta.tif", "A 53007-2025")</f>
        <v/>
      </c>
      <c r="AA16">
        <f>HYPERLINK("https://klasma.github.io/Logging_1482/klagomål/A 53007-2025 FSC-klagomål.docx", "A 53007-2025")</f>
        <v/>
      </c>
      <c r="AB16">
        <f>HYPERLINK("https://klasma.github.io/Logging_1482/klagomålsmail/A 53007-2025 FSC-klagomål mail.docx", "A 53007-2025")</f>
        <v/>
      </c>
      <c r="AC16">
        <f>HYPERLINK("https://klasma.github.io/Logging_1482/tillsyn/A 53007-2025 tillsynsbegäran.docx", "A 53007-2025")</f>
        <v/>
      </c>
      <c r="AD16">
        <f>HYPERLINK("https://klasma.github.io/Logging_1482/tillsynsmail/A 53007-2025 tillsynsbegäran mail.docx", "A 53007-2025")</f>
        <v/>
      </c>
      <c r="AE16">
        <f>HYPERLINK("https://klasma.github.io/Logging_1482/fåglar/A 53007-2025 prioriterade fågelarter.docx", "A 53007-2025")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46252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46252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46252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Västlig hakmossa</t>
        </is>
      </c>
      <c r="W19">
        <f>HYPERLINK("https://klasma.github.io/Logging_1482/artfynd/A 30860-2026 artfynd.xlsx", "A 30860-2026")</f>
        <v/>
      </c>
      <c r="X19">
        <f>HYPERLINK("https://klasma.github.io/Logging_1482/kartor/A 30860-2026 karta.png", "A 30860-2026")</f>
        <v/>
      </c>
      <c r="Y19">
        <f>HYPERLINK("https://klasma.github.io/Logging_1482/kartor_geotiff/A 30860-2026 georefererad karta.tif", "A 30860-2026")</f>
        <v/>
      </c>
      <c r="AA19">
        <f>HYPERLINK("https://klasma.github.io/Logging_1482/klagomål/A 30860-2026 FSC-klagomål.docx", "A 30860-2026")</f>
        <v/>
      </c>
      <c r="AB19">
        <f>HYPERLINK("https://klasma.github.io/Logging_1482/klagomålsmail/A 30860-2026 FSC-klagomål mail.docx", "A 30860-2026")</f>
        <v/>
      </c>
      <c r="AC19">
        <f>HYPERLINK("https://klasma.github.io/Logging_1482/tillsyn/A 30860-2026 tillsynsbegäran.docx", "A 30860-2026")</f>
        <v/>
      </c>
      <c r="AD19">
        <f>HYPERLINK("https://klasma.github.io/Logging_1482/tillsynsmail/A 30860-2026 tillsynsbegäran mail.docx", "A 30860-2026")</f>
        <v/>
      </c>
      <c r="AE19">
        <f>HYPERLINK("https://klasma.github.io/Logging_1482/fåglar/A 30860-2026 prioriterade fågelarter.docx", "A 30860-2026")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46252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46252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46252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46252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46252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46252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46252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46252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46252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46252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46252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46252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46252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46252</v>
      </c>
      <c r="F34" t="inlineStr">
        <is>
          <t>VÄSTRA GÖTALANDS LÄN</t>
        </is>
      </c>
      <c r="G34" t="inlineStr">
        <is>
          <t>KUNGÄLV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45124</v>
      </c>
      <c r="E35" s="1" t="n">
        <v>46252</v>
      </c>
      <c r="F35" t="inlineStr">
        <is>
          <t>VÄSTRA GÖTALANDS LÄN</t>
        </is>
      </c>
      <c r="G35" t="inlineStr">
        <is>
          <t>KUNGÄLV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46252</v>
      </c>
      <c r="F36" t="inlineStr">
        <is>
          <t>VÄSTRA GÖTALANDS LÄN</t>
        </is>
      </c>
      <c r="G36" t="inlineStr">
        <is>
          <t>KUNGÄLV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44894</v>
      </c>
      <c r="E37" s="1" t="n">
        <v>46252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46252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45757</v>
      </c>
      <c r="E39" s="1" t="n">
        <v>46252</v>
      </c>
      <c r="F39" t="inlineStr">
        <is>
          <t>VÄSTRA GÖTALANDS LÄN</t>
        </is>
      </c>
      <c r="G39" t="inlineStr">
        <is>
          <t>KUNGÄLV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46252</v>
      </c>
      <c r="F40" t="inlineStr">
        <is>
          <t>VÄSTRA GÖTALANDS LÄN</t>
        </is>
      </c>
      <c r="G40" t="inlineStr">
        <is>
          <t>KUNGÄLV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44757</v>
      </c>
      <c r="E41" s="1" t="n">
        <v>46252</v>
      </c>
      <c r="F41" t="inlineStr">
        <is>
          <t>VÄSTRA GÖTALANDS LÄN</t>
        </is>
      </c>
      <c r="G41" t="inlineStr">
        <is>
          <t>KUNGÄLV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44989</v>
      </c>
      <c r="E42" s="1" t="n">
        <v>46252</v>
      </c>
      <c r="F42" t="inlineStr">
        <is>
          <t>VÄSTRA GÖTALANDS LÄN</t>
        </is>
      </c>
      <c r="G42" t="inlineStr">
        <is>
          <t>KUNGÄLV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46252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21240-2023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46252</v>
      </c>
      <c r="F44" t="inlineStr">
        <is>
          <t>VÄSTRA GÖTALANDS LÄN</t>
        </is>
      </c>
      <c r="G44" t="inlineStr">
        <is>
          <t>KUNGÄLV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46252</v>
      </c>
      <c r="F45" t="inlineStr">
        <is>
          <t>VÄSTRA GÖTALANDS LÄN</t>
        </is>
      </c>
      <c r="G45" t="inlineStr">
        <is>
          <t>KUNGÄLV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46252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44502</v>
      </c>
      <c r="E47" s="1" t="n">
        <v>46252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45844</v>
      </c>
      <c r="E48" s="1" t="n">
        <v>46252</v>
      </c>
      <c r="F48" t="inlineStr">
        <is>
          <t>VÄSTRA GÖTALANDS LÄN</t>
        </is>
      </c>
      <c r="G48" t="inlineStr">
        <is>
          <t>KUNGÄLV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25624-2025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45803</v>
      </c>
      <c r="E49" s="1" t="n">
        <v>46252</v>
      </c>
      <c r="F49" t="inlineStr">
        <is>
          <t>VÄSTRA GÖTALANDS LÄN</t>
        </is>
      </c>
      <c r="G49" t="inlineStr">
        <is>
          <t>KUNGÄLV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46252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29223-2024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45482</v>
      </c>
      <c r="E51" s="1" t="n">
        <v>46252</v>
      </c>
      <c r="F51" t="inlineStr">
        <is>
          <t>VÄSTRA GÖTALANDS LÄN</t>
        </is>
      </c>
      <c r="G51" t="inlineStr">
        <is>
          <t>KUNGÄLV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62979-2023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45271</v>
      </c>
      <c r="E52" s="1" t="n">
        <v>46252</v>
      </c>
      <c r="F52" t="inlineStr">
        <is>
          <t>VÄSTRA GÖTALANDS LÄN</t>
        </is>
      </c>
      <c r="G52" t="inlineStr">
        <is>
          <t>KUNGÄLV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10655-2022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44624</v>
      </c>
      <c r="E53" s="1" t="n">
        <v>46252</v>
      </c>
      <c r="F53" t="inlineStr">
        <is>
          <t>VÄSTRA GÖTALANDS LÄN</t>
        </is>
      </c>
      <c r="G53" t="inlineStr">
        <is>
          <t>KUNGÄLV</t>
        </is>
      </c>
      <c r="I53" t="n">
        <v>13.3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45869</v>
      </c>
      <c r="E54" s="1" t="n">
        <v>46252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45552</v>
      </c>
      <c r="E55" s="1" t="n">
        <v>46252</v>
      </c>
      <c r="F55" t="inlineStr">
        <is>
          <t>VÄSTRA GÖTALANDS LÄN</t>
        </is>
      </c>
      <c r="G55" t="inlineStr">
        <is>
          <t>KUNGÄLV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46252</v>
      </c>
      <c r="F56" t="inlineStr">
        <is>
          <t>VÄSTRA GÖTALANDS LÄN</t>
        </is>
      </c>
      <c r="G56" t="inlineStr">
        <is>
          <t>KUNGÄLV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46252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45470</v>
      </c>
      <c r="E58" s="1" t="n">
        <v>46252</v>
      </c>
      <c r="F58" t="inlineStr">
        <is>
          <t>VÄSTRA GÖTALANDS LÄN</t>
        </is>
      </c>
      <c r="G58" t="inlineStr">
        <is>
          <t>KUNGÄLV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44755</v>
      </c>
      <c r="E59" s="1" t="n">
        <v>46252</v>
      </c>
      <c r="F59" t="inlineStr">
        <is>
          <t>VÄSTRA GÖTALANDS LÄN</t>
        </is>
      </c>
      <c r="G59" t="inlineStr">
        <is>
          <t>KUNGÄLV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18852-2024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45426</v>
      </c>
      <c r="E60" s="1" t="n">
        <v>46252</v>
      </c>
      <c r="F60" t="inlineStr">
        <is>
          <t>VÄSTRA GÖTALANDS LÄN</t>
        </is>
      </c>
      <c r="G60" t="inlineStr">
        <is>
          <t>KUNGÄLV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46252</v>
      </c>
      <c r="F61" t="inlineStr">
        <is>
          <t>VÄSTRA GÖTALANDS LÄN</t>
        </is>
      </c>
      <c r="G61" t="inlineStr">
        <is>
          <t>KUNGÄLV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46252</v>
      </c>
      <c r="F62" t="inlineStr">
        <is>
          <t>VÄSTRA GÖTALANDS LÄN</t>
        </is>
      </c>
      <c r="G62" t="inlineStr">
        <is>
          <t>KUNGÄLV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45694</v>
      </c>
      <c r="E63" s="1" t="n">
        <v>46252</v>
      </c>
      <c r="F63" t="inlineStr">
        <is>
          <t>VÄSTRA GÖTALANDS LÄN</t>
        </is>
      </c>
      <c r="G63" t="inlineStr">
        <is>
          <t>KUNGÄLV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46252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45347</v>
      </c>
      <c r="E65" s="1" t="n">
        <v>46252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8334-2023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44975</v>
      </c>
      <c r="E66" s="1" t="n">
        <v>46252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46252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46252</v>
      </c>
      <c r="F68" t="inlineStr">
        <is>
          <t>VÄSTRA GÖTALANDS LÄN</t>
        </is>
      </c>
      <c r="G68" t="inlineStr">
        <is>
          <t>KUNGÄLV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44928</v>
      </c>
      <c r="E69" s="1" t="n">
        <v>46252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45426</v>
      </c>
      <c r="E70" s="1" t="n">
        <v>46252</v>
      </c>
      <c r="F70" t="inlineStr">
        <is>
          <t>VÄSTRA GÖTALANDS LÄN</t>
        </is>
      </c>
      <c r="G70" t="inlineStr">
        <is>
          <t>KUNGÄLV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71835-2021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44543</v>
      </c>
      <c r="E71" s="1" t="n">
        <v>46252</v>
      </c>
      <c r="F71" t="inlineStr">
        <is>
          <t>VÄSTRA GÖTALANDS LÄN</t>
        </is>
      </c>
      <c r="G71" t="inlineStr">
        <is>
          <t>KUNGÄLV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46252</v>
      </c>
      <c r="F72" t="inlineStr">
        <is>
          <t>VÄSTRA GÖTALANDS LÄN</t>
        </is>
      </c>
      <c r="G72" t="inlineStr">
        <is>
          <t>KUNGÄLV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46048</v>
      </c>
      <c r="E73" s="1" t="n">
        <v>46252</v>
      </c>
      <c r="F73" t="inlineStr">
        <is>
          <t>VÄSTRA GÖTALANDS LÄN</t>
        </is>
      </c>
      <c r="G73" t="inlineStr">
        <is>
          <t>KUNGÄLV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45222</v>
      </c>
      <c r="E74" s="1" t="n">
        <v>46252</v>
      </c>
      <c r="F74" t="inlineStr">
        <is>
          <t>VÄSTRA GÖTALANDS LÄN</t>
        </is>
      </c>
      <c r="G74" t="inlineStr">
        <is>
          <t>KUNGÄLV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6946-2026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46057</v>
      </c>
      <c r="E75" s="1" t="n">
        <v>46252</v>
      </c>
      <c r="F75" t="inlineStr">
        <is>
          <t>VÄSTRA GÖTALANDS LÄN</t>
        </is>
      </c>
      <c r="G75" t="inlineStr">
        <is>
          <t>KUNGÄLV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46252</v>
      </c>
      <c r="F76" t="inlineStr">
        <is>
          <t>VÄSTRA GÖTALANDS LÄN</t>
        </is>
      </c>
      <c r="G76" t="inlineStr">
        <is>
          <t>KUNGÄLV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46252</v>
      </c>
      <c r="F77" t="inlineStr">
        <is>
          <t>VÄSTRA GÖTALANDS LÄN</t>
        </is>
      </c>
      <c r="G77" t="inlineStr">
        <is>
          <t>KUNGÄLV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45391</v>
      </c>
      <c r="E78" s="1" t="n">
        <v>46252</v>
      </c>
      <c r="F78" t="inlineStr">
        <is>
          <t>VÄSTRA GÖTALANDS LÄN</t>
        </is>
      </c>
      <c r="G78" t="inlineStr">
        <is>
          <t>KUNGÄLV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46252</v>
      </c>
      <c r="F79" t="inlineStr">
        <is>
          <t>VÄSTRA GÖTALANDS LÄN</t>
        </is>
      </c>
      <c r="G79" t="inlineStr">
        <is>
          <t>KUNGÄLV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46252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46252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46252</v>
      </c>
      <c r="F82" t="inlineStr">
        <is>
          <t>VÄSTRA GÖTALANDS LÄN</t>
        </is>
      </c>
      <c r="G82" t="inlineStr">
        <is>
          <t>KUNGÄLV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46252</v>
      </c>
      <c r="F83" t="inlineStr">
        <is>
          <t>VÄSTRA GÖTALANDS LÄN</t>
        </is>
      </c>
      <c r="G83" t="inlineStr">
        <is>
          <t>KUNGÄLV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46252</v>
      </c>
      <c r="F84" t="inlineStr">
        <is>
          <t>VÄSTRA GÖTALANDS LÄN</t>
        </is>
      </c>
      <c r="G84" t="inlineStr">
        <is>
          <t>KUNGÄLV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46252</v>
      </c>
      <c r="F85" t="inlineStr">
        <is>
          <t>VÄSTRA GÖTALANDS LÄN</t>
        </is>
      </c>
      <c r="G85" t="inlineStr">
        <is>
          <t>KUNGÄLV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46252</v>
      </c>
      <c r="F86" t="inlineStr">
        <is>
          <t>VÄSTRA GÖTALANDS LÄN</t>
        </is>
      </c>
      <c r="G86" t="inlineStr">
        <is>
          <t>KUNGÄLV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63319-2021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46252</v>
      </c>
      <c r="F87" t="inlineStr">
        <is>
          <t>VÄSTRA GÖTALANDS LÄN</t>
        </is>
      </c>
      <c r="G87" t="inlineStr">
        <is>
          <t>KUNGÄLV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46252</v>
      </c>
      <c r="F88" t="inlineStr">
        <is>
          <t>VÄSTRA GÖTALANDS LÄN</t>
        </is>
      </c>
      <c r="G88" t="inlineStr">
        <is>
          <t>KUNGÄLV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46252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46252</v>
      </c>
      <c r="F90" t="inlineStr">
        <is>
          <t>VÄSTRA GÖTALANDS LÄN</t>
        </is>
      </c>
      <c r="G90" t="inlineStr">
        <is>
          <t>KUNGÄLV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46252</v>
      </c>
      <c r="F91" t="inlineStr">
        <is>
          <t>VÄSTRA GÖTALANDS LÄN</t>
        </is>
      </c>
      <c r="G91" t="inlineStr">
        <is>
          <t>KUNGÄLV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46252</v>
      </c>
      <c r="F92" t="inlineStr">
        <is>
          <t>VÄSTRA GÖTALANDS LÄN</t>
        </is>
      </c>
      <c r="G92" t="inlineStr">
        <is>
          <t>KUNGÄLV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46252</v>
      </c>
      <c r="F93" t="inlineStr">
        <is>
          <t>VÄSTRA GÖTALANDS LÄN</t>
        </is>
      </c>
      <c r="G93" t="inlineStr">
        <is>
          <t>KUNGÄLV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46163</v>
      </c>
      <c r="E94" s="1" t="n">
        <v>46252</v>
      </c>
      <c r="F94" t="inlineStr">
        <is>
          <t>VÄSTRA GÖTALANDS LÄN</t>
        </is>
      </c>
      <c r="G94" t="inlineStr">
        <is>
          <t>KUNGÄLV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46252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46252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74285-2021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44558</v>
      </c>
      <c r="E97" s="1" t="n">
        <v>46252</v>
      </c>
      <c r="F97" t="inlineStr">
        <is>
          <t>VÄSTRA GÖTALANDS LÄN</t>
        </is>
      </c>
      <c r="G97" t="inlineStr">
        <is>
          <t>KUNGÄLV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46211</v>
      </c>
      <c r="E98" s="1" t="n">
        <v>46252</v>
      </c>
      <c r="F98" t="inlineStr">
        <is>
          <t>VÄSTRA GÖTALANDS LÄN</t>
        </is>
      </c>
      <c r="G98" t="inlineStr">
        <is>
          <t>KUNGÄLV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46252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46252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46252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2026-08-18T01:45:37Z</dcterms:created>
  <dcterms:modified xmlns:dcterms="http://purl.org/dc/terms/" xmlns:xsi="http://www.w3.org/2001/XMLSchema-instance" xsi:type="dcterms:W3CDTF">2026-08-18T01:45:37Z</dcterms:modified>
</cp:coreProperties>
</file>