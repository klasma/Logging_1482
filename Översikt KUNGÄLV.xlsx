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46319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46319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29061-2026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46199</v>
      </c>
      <c r="E9" s="1" t="n">
        <v>46319</v>
      </c>
      <c r="F9" t="inlineStr">
        <is>
          <t>VÄSTRA GÖTALANDS LÄN</t>
        </is>
      </c>
      <c r="G9" t="inlineStr">
        <is>
          <t>KUNGÄLV</t>
        </is>
      </c>
      <c r="I9" t="n">
        <v>7.5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Blåsippa
Spillkråka
Skogsödla</t>
        </is>
      </c>
      <c r="W9">
        <f>HYPERLINK("https://klasma.github.io/Logging_1482/artfynd/A 29061-2026 artfynd.xlsx", "A 29061-2026")</f>
        <v/>
      </c>
      <c r="X9">
        <f>HYPERLINK("https://klasma.github.io/Logging_1482/kartor/A 29061-2026 karta.png", "A 29061-2026")</f>
        <v/>
      </c>
      <c r="Y9">
        <f>HYPERLINK("https://klasma.github.io/Logging_1482/kartor_geotiff/A 29061-2026 georefererad karta.tif", "A 29061-2026")</f>
        <v/>
      </c>
      <c r="AA9">
        <f>HYPERLINK("https://klasma.github.io/Logging_1482/klagomål/A 29061-2026 FSC-klagomål.docx", "A 29061-2026")</f>
        <v/>
      </c>
      <c r="AB9">
        <f>HYPERLINK("https://klasma.github.io/Logging_1482/klagomålsmail/A 29061-2026 FSC-klagomål mail.docx", "A 29061-2026")</f>
        <v/>
      </c>
      <c r="AC9">
        <f>HYPERLINK("https://klasma.github.io/Logging_1482/tillsyn/A 29061-2026 tillsynsbegäran.docx", "A 29061-2026")</f>
        <v/>
      </c>
      <c r="AD9">
        <f>HYPERLINK("https://klasma.github.io/Logging_1482/tillsynsmail/A 29061-2026 tillsynsbegäran mail.docx", "A 29061-2026")</f>
        <v/>
      </c>
      <c r="AE9">
        <f>HYPERLINK("https://klasma.github.io/Logging_1482/fåglar/A 29061-2026 prioriterade fågelarter.docx", "A 29061-2026")</f>
        <v/>
      </c>
    </row>
    <row r="10" ht="15" customHeight="1">
      <c r="A10" t="inlineStr">
        <is>
          <t>A 58408-2025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45985</v>
      </c>
      <c r="E10" s="1" t="n">
        <v>46319</v>
      </c>
      <c r="F10" t="inlineStr">
        <is>
          <t>VÄSTRA GÖTALANDS LÄN</t>
        </is>
      </c>
      <c r="G10" t="inlineStr">
        <is>
          <t>KUNGÄLV</t>
        </is>
      </c>
      <c r="I10" t="n">
        <v>8.1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Älg
Spillkråka
Revlummer</t>
        </is>
      </c>
      <c r="W10">
        <f>HYPERLINK("https://klasma.github.io/Logging_1482/artfynd/A 58408-2025 artfynd.xlsx", "A 58408-2025")</f>
        <v/>
      </c>
      <c r="X10">
        <f>HYPERLINK("https://klasma.github.io/Logging_1482/kartor/A 58408-2025 karta.png", "A 58408-2025")</f>
        <v/>
      </c>
      <c r="Y10">
        <f>HYPERLINK("https://klasma.github.io/Logging_1482/kartor_geotiff/A 58408-2025 georefererad karta.tif", "A 58408-2025")</f>
        <v/>
      </c>
      <c r="AA10">
        <f>HYPERLINK("https://klasma.github.io/Logging_1482/klagomål/A 58408-2025 FSC-klagomål.docx", "A 58408-2025")</f>
        <v/>
      </c>
      <c r="AB10">
        <f>HYPERLINK("https://klasma.github.io/Logging_1482/klagomålsmail/A 58408-2025 FSC-klagomål mail.docx", "A 58408-2025")</f>
        <v/>
      </c>
      <c r="AC10">
        <f>HYPERLINK("https://klasma.github.io/Logging_1482/tillsyn/A 58408-2025 tillsynsbegäran.docx", "A 58408-2025")</f>
        <v/>
      </c>
      <c r="AD10">
        <f>HYPERLINK("https://klasma.github.io/Logging_1482/tillsynsmail/A 58408-2025 tillsynsbegäran mail.docx", "A 58408-2025")</f>
        <v/>
      </c>
      <c r="AE10">
        <f>HYPERLINK("https://klasma.github.io/Logging_1482/fåglar/A 58408-2025 prioriterade fågelarter.docx", "A 58408-2025")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46319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46319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46319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44113-2026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46318</v>
      </c>
      <c r="E14" s="1" t="n">
        <v>46319</v>
      </c>
      <c r="F14" t="inlineStr">
        <is>
          <t>VÄSTRA GÖTALANDS LÄN</t>
        </is>
      </c>
      <c r="G14" t="inlineStr">
        <is>
          <t>KUNGÄLV</t>
        </is>
      </c>
      <c r="I14" t="n">
        <v>5.4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Naggbjörnbär
Revlummer
Äkta lopplummer</t>
        </is>
      </c>
      <c r="W14">
        <f>HYPERLINK("https://klasma.github.io/Logging_1482/artfynd/A 44113-2026 artfynd.xlsx", "A 44113-2026")</f>
        <v/>
      </c>
      <c r="X14">
        <f>HYPERLINK("https://klasma.github.io/Logging_1482/kartor/A 44113-2026 karta.png", "A 44113-2026")</f>
        <v/>
      </c>
      <c r="Y14">
        <f>HYPERLINK("https://klasma.github.io/Logging_1482/kartor_geotiff/A 44113-2026 georefererad karta.tif", "A 44113-2026")</f>
        <v/>
      </c>
      <c r="AA14">
        <f>HYPERLINK("https://klasma.github.io/Logging_1482/klagomål/A 44113-2026 FSC-klagomål.docx", "A 44113-2026")</f>
        <v/>
      </c>
      <c r="AB14">
        <f>HYPERLINK("https://klasma.github.io/Logging_1482/klagomålsmail/A 44113-2026 FSC-klagomål mail.docx", "A 44113-2026")</f>
        <v/>
      </c>
      <c r="AC14">
        <f>HYPERLINK("https://klasma.github.io/Logging_1482/tillsyn/A 44113-2026 tillsynsbegäran.docx", "A 44113-2026")</f>
        <v/>
      </c>
      <c r="AD14">
        <f>HYPERLINK("https://klasma.github.io/Logging_1482/tillsynsmail/A 44113-2026 tillsynsbegäran mail.docx", "A 44113-2026")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46319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46319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46319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46319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57116-2025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45979</v>
      </c>
      <c r="E19" s="1" t="n">
        <v>46319</v>
      </c>
      <c r="F19" t="inlineStr">
        <is>
          <t>VÄSTRA GÖTALANDS LÄN</t>
        </is>
      </c>
      <c r="G19" t="inlineStr">
        <is>
          <t>KUNGÄLV</t>
        </is>
      </c>
      <c r="I19" t="n">
        <v>3.5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Västlig hakmossa
Spillkråka</t>
        </is>
      </c>
      <c r="W19">
        <f>HYPERLINK("https://klasma.github.io/Logging_1482/artfynd/A 57116-2025 artfynd.xlsx", "A 57116-2025")</f>
        <v/>
      </c>
      <c r="X19">
        <f>HYPERLINK("https://klasma.github.io/Logging_1482/kartor/A 57116-2025 karta.png", "A 57116-2025")</f>
        <v/>
      </c>
      <c r="Y19">
        <f>HYPERLINK("https://klasma.github.io/Logging_1482/kartor_geotiff/A 57116-2025 georefererad karta.tif", "A 57116-2025")</f>
        <v/>
      </c>
      <c r="AA19">
        <f>HYPERLINK("https://klasma.github.io/Logging_1482/klagomål/A 57116-2025 FSC-klagomål.docx", "A 57116-2025")</f>
        <v/>
      </c>
      <c r="AB19">
        <f>HYPERLINK("https://klasma.github.io/Logging_1482/klagomålsmail/A 57116-2025 FSC-klagomål mail.docx", "A 57116-2025")</f>
        <v/>
      </c>
      <c r="AC19">
        <f>HYPERLINK("https://klasma.github.io/Logging_1482/tillsyn/A 57116-2025 tillsynsbegäran.docx", "A 57116-2025")</f>
        <v/>
      </c>
      <c r="AD19">
        <f>HYPERLINK("https://klasma.github.io/Logging_1482/tillsynsmail/A 57116-2025 tillsynsbegäran mail.docx", "A 57116-2025")</f>
        <v/>
      </c>
      <c r="AE19">
        <f>HYPERLINK("https://klasma.github.io/Logging_1482/fåglar/A 57116-2025 prioriterade fågelarter.docx", "A 57116-2025")</f>
        <v/>
      </c>
    </row>
    <row r="20" ht="15" customHeight="1">
      <c r="A20" t="inlineStr">
        <is>
          <t>A 53007-2025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46319</v>
      </c>
      <c r="F20" t="inlineStr">
        <is>
          <t>VÄSTRA GÖTALANDS LÄN</t>
        </is>
      </c>
      <c r="G20" t="inlineStr">
        <is>
          <t>KUNGÄLV</t>
        </is>
      </c>
      <c r="I20" t="n">
        <v>2.9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Västlig hakmossa
Spillkråka</t>
        </is>
      </c>
      <c r="W20">
        <f>HYPERLINK("https://klasma.github.io/Logging_1482/artfynd/A 53007-2025 artfynd.xlsx", "A 53007-2025")</f>
        <v/>
      </c>
      <c r="X20">
        <f>HYPERLINK("https://klasma.github.io/Logging_1482/kartor/A 53007-2025 karta.png", "A 53007-2025")</f>
        <v/>
      </c>
      <c r="Y20">
        <f>HYPERLINK("https://klasma.github.io/Logging_1482/kartor_geotiff/A 53007-2025 georefererad karta.tif", "A 53007-2025")</f>
        <v/>
      </c>
      <c r="AA20">
        <f>HYPERLINK("https://klasma.github.io/Logging_1482/klagomål/A 53007-2025 FSC-klagomål.docx", "A 53007-2025")</f>
        <v/>
      </c>
      <c r="AB20">
        <f>HYPERLINK("https://klasma.github.io/Logging_1482/klagomålsmail/A 53007-2025 FSC-klagomål mail.docx", "A 53007-2025")</f>
        <v/>
      </c>
      <c r="AC20">
        <f>HYPERLINK("https://klasma.github.io/Logging_1482/tillsyn/A 53007-2025 tillsynsbegäran.docx", "A 53007-2025")</f>
        <v/>
      </c>
      <c r="AD20">
        <f>HYPERLINK("https://klasma.github.io/Logging_1482/tillsynsmail/A 53007-2025 tillsynsbegäran mail.docx", "A 53007-2025")</f>
        <v/>
      </c>
      <c r="AE20">
        <f>HYPERLINK("https://klasma.github.io/Logging_1482/fåglar/A 53007-2025 prioriterade fågelarter.docx", "A 53007-2025")</f>
        <v/>
      </c>
    </row>
    <row r="21" ht="15" customHeight="1">
      <c r="A21" t="inlineStr">
        <is>
          <t>A 44102-2026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46318</v>
      </c>
      <c r="E21" s="1" t="n">
        <v>46319</v>
      </c>
      <c r="F21" t="inlineStr">
        <is>
          <t>VÄSTRA GÖTALANDS LÄN</t>
        </is>
      </c>
      <c r="G21" t="inlineStr">
        <is>
          <t>KUNGÄLV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Revlummer</t>
        </is>
      </c>
      <c r="W21">
        <f>HYPERLINK("https://klasma.github.io/Logging_1482/artfynd/A 44102-2026 artfynd.xlsx", "A 44102-2026")</f>
        <v/>
      </c>
      <c r="X21">
        <f>HYPERLINK("https://klasma.github.io/Logging_1482/kartor/A 44102-2026 karta.png", "A 44102-2026")</f>
        <v/>
      </c>
      <c r="Y21">
        <f>HYPERLINK("https://klasma.github.io/Logging_1482/kartor_geotiff/A 44102-2026 georefererad karta.tif", "A 44102-2026")</f>
        <v/>
      </c>
      <c r="AA21">
        <f>HYPERLINK("https://klasma.github.io/Logging_1482/klagomål/A 44102-2026 FSC-klagomål.docx", "A 44102-2026")</f>
        <v/>
      </c>
      <c r="AB21">
        <f>HYPERLINK("https://klasma.github.io/Logging_1482/klagomålsmail/A 44102-2026 FSC-klagomål mail.docx", "A 44102-2026")</f>
        <v/>
      </c>
      <c r="AC21">
        <f>HYPERLINK("https://klasma.github.io/Logging_1482/tillsyn/A 44102-2026 tillsynsbegäran.docx", "A 44102-2026")</f>
        <v/>
      </c>
      <c r="AD21">
        <f>HYPERLINK("https://klasma.github.io/Logging_1482/tillsynsmail/A 44102-2026 tillsynsbegäran mail.docx", "A 44102-2026")</f>
        <v/>
      </c>
    </row>
    <row r="22" ht="15" customHeight="1">
      <c r="A22" t="inlineStr">
        <is>
          <t>A 43847-2022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46319</v>
      </c>
      <c r="F22" t="inlineStr">
        <is>
          <t>VÄSTRA GÖTALANDS LÄN</t>
        </is>
      </c>
      <c r="G22" t="inlineStr">
        <is>
          <t>KUNGÄLV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Gråsiska</t>
        </is>
      </c>
      <c r="W22">
        <f>HYPERLINK("https://klasma.github.io/Logging_1482/artfynd/A 43847-2022 artfynd.xlsx", "A 43847-2022")</f>
        <v/>
      </c>
      <c r="X22">
        <f>HYPERLINK("https://klasma.github.io/Logging_1482/kartor/A 43847-2022 karta.png", "A 43847-2022")</f>
        <v/>
      </c>
      <c r="Y22">
        <f>HYPERLINK("https://klasma.github.io/Logging_1482/kartor_geotiff/A 43847-2022 georefererad karta.tif", "A 43847-2022")</f>
        <v/>
      </c>
      <c r="AA22">
        <f>HYPERLINK("https://klasma.github.io/Logging_1482/klagomål/A 43847-2022 FSC-klagomål.docx", "A 43847-2022")</f>
        <v/>
      </c>
      <c r="AB22">
        <f>HYPERLINK("https://klasma.github.io/Logging_1482/klagomålsmail/A 43847-2022 FSC-klagomål mail.docx", "A 43847-2022")</f>
        <v/>
      </c>
      <c r="AC22">
        <f>HYPERLINK("https://klasma.github.io/Logging_1482/tillsyn/A 43847-2022 tillsynsbegäran.docx", "A 43847-2022")</f>
        <v/>
      </c>
      <c r="AD22">
        <f>HYPERLINK("https://klasma.github.io/Logging_1482/tillsynsmail/A 43847-2022 tillsynsbegäran mail.docx", "A 43847-2022")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46319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21240-2023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46319</v>
      </c>
      <c r="F24" t="inlineStr">
        <is>
          <t>VÄSTRA GÖTALANDS LÄN</t>
        </is>
      </c>
      <c r="G24" t="inlineStr">
        <is>
          <t>KUNGÄLV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HYPERLINK("https://klasma.github.io/Logging_1482/artfynd/A 21240-2023 artfynd.xlsx", "A 21240-2023")</f>
        <v/>
      </c>
      <c r="X24">
        <f>HYPERLINK("https://klasma.github.io/Logging_1482/kartor/A 21240-2023 karta.png", "A 21240-2023")</f>
        <v/>
      </c>
      <c r="Y24">
        <f>HYPERLINK("https://klasma.github.io/Logging_1482/kartor_geotiff/A 21240-2023 georefererad karta.tif", "A 21240-2023")</f>
        <v/>
      </c>
      <c r="AA24">
        <f>HYPERLINK("https://klasma.github.io/Logging_1482/klagomål/A 21240-2023 FSC-klagomål.docx", "A 21240-2023")</f>
        <v/>
      </c>
      <c r="AB24">
        <f>HYPERLINK("https://klasma.github.io/Logging_1482/klagomålsmail/A 21240-2023 FSC-klagomål mail.docx", "A 21240-2023")</f>
        <v/>
      </c>
      <c r="AC24">
        <f>HYPERLINK("https://klasma.github.io/Logging_1482/tillsyn/A 21240-2023 tillsynsbegäran.docx", "A 21240-2023")</f>
        <v/>
      </c>
      <c r="AD24">
        <f>HYPERLINK("https://klasma.github.io/Logging_1482/tillsynsmail/A 21240-2023 tillsynsbegäran mail.docx", "A 21240-2023")</f>
        <v/>
      </c>
    </row>
    <row r="25" ht="15" customHeight="1">
      <c r="A25" t="inlineStr">
        <is>
          <t>A 30862-2026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46212</v>
      </c>
      <c r="E25" s="1" t="n">
        <v>46319</v>
      </c>
      <c r="F25" t="inlineStr">
        <is>
          <t>VÄSTRA GÖTALANDS LÄN</t>
        </is>
      </c>
      <c r="G25" t="inlineStr">
        <is>
          <t>KUNGÄLV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Grönvit nattviol</t>
        </is>
      </c>
      <c r="W25">
        <f>HYPERLINK("https://klasma.github.io/Logging_1482/artfynd/A 30862-2026 artfynd.xlsx", "A 30862-2026")</f>
        <v/>
      </c>
      <c r="X25">
        <f>HYPERLINK("https://klasma.github.io/Logging_1482/kartor/A 30862-2026 karta.png", "A 30862-2026")</f>
        <v/>
      </c>
      <c r="Y25">
        <f>HYPERLINK("https://klasma.github.io/Logging_1482/kartor_geotiff/A 30862-2026 georefererad karta.tif", "A 30862-2026")</f>
        <v/>
      </c>
      <c r="AA25">
        <f>HYPERLINK("https://klasma.github.io/Logging_1482/klagomål/A 30862-2026 FSC-klagomål.docx", "A 30862-2026")</f>
        <v/>
      </c>
      <c r="AB25">
        <f>HYPERLINK("https://klasma.github.io/Logging_1482/klagomålsmail/A 30862-2026 FSC-klagomål mail.docx", "A 30862-2026")</f>
        <v/>
      </c>
      <c r="AC25">
        <f>HYPERLINK("https://klasma.github.io/Logging_1482/tillsyn/A 30862-2026 tillsynsbegäran.docx", "A 30862-2026")</f>
        <v/>
      </c>
      <c r="AD25">
        <f>HYPERLINK("https://klasma.github.io/Logging_1482/tillsynsmail/A 30862-2026 tillsynsbegäran mail.docx", "A 30862-2026")</f>
        <v/>
      </c>
    </row>
    <row r="26" ht="15" customHeight="1">
      <c r="A26" t="inlineStr">
        <is>
          <t>A 23704-2024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45454</v>
      </c>
      <c r="E26" s="1" t="n">
        <v>46319</v>
      </c>
      <c r="F26" t="inlineStr">
        <is>
          <t>VÄSTRA GÖTALANDS LÄN</t>
        </is>
      </c>
      <c r="G26" t="inlineStr">
        <is>
          <t>KUNGÄLV</t>
        </is>
      </c>
      <c r="I26" t="n">
        <v>4.9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Hedjohannesört</t>
        </is>
      </c>
      <c r="W26">
        <f>HYPERLINK("https://klasma.github.io/Logging_1482/artfynd/A 23704-2024 artfynd.xlsx", "A 23704-2024")</f>
        <v/>
      </c>
      <c r="X26">
        <f>HYPERLINK("https://klasma.github.io/Logging_1482/kartor/A 23704-2024 karta.png", "A 23704-2024")</f>
        <v/>
      </c>
      <c r="Y26">
        <f>HYPERLINK("https://klasma.github.io/Logging_1482/kartor_geotiff/A 23704-2024 georefererad karta.tif", "A 23704-2024")</f>
        <v/>
      </c>
      <c r="AA26">
        <f>HYPERLINK("https://klasma.github.io/Logging_1482/klagomål/A 23704-2024 FSC-klagomål.docx", "A 23704-2024")</f>
        <v/>
      </c>
      <c r="AB26">
        <f>HYPERLINK("https://klasma.github.io/Logging_1482/klagomålsmail/A 23704-2024 FSC-klagomål mail.docx", "A 23704-2024")</f>
        <v/>
      </c>
      <c r="AC26">
        <f>HYPERLINK("https://klasma.github.io/Logging_1482/tillsyn/A 23704-2024 tillsynsbegäran.docx", "A 23704-2024")</f>
        <v/>
      </c>
      <c r="AD26">
        <f>HYPERLINK("https://klasma.github.io/Logging_1482/tillsynsmail/A 23704-2024 tillsynsbegäran mail.docx", "A 23704-2024")</f>
        <v/>
      </c>
    </row>
    <row r="27" ht="15" customHeight="1">
      <c r="A27" t="inlineStr">
        <is>
          <t>A 6082-2025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45697</v>
      </c>
      <c r="E27" s="1" t="n">
        <v>46319</v>
      </c>
      <c r="F27" t="inlineStr">
        <is>
          <t>VÄSTRA GÖTALANDS LÄN</t>
        </is>
      </c>
      <c r="G27" t="inlineStr">
        <is>
          <t>KUNGÄLV</t>
        </is>
      </c>
      <c r="I27" t="n">
        <v>2.8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HYPERLINK("https://klasma.github.io/Logging_1482/artfynd/A 6082-2025 artfynd.xlsx", "A 6082-2025")</f>
        <v/>
      </c>
      <c r="X27">
        <f>HYPERLINK("https://klasma.github.io/Logging_1482/kartor/A 6082-2025 karta.png", "A 6082-2025")</f>
        <v/>
      </c>
      <c r="Y27">
        <f>HYPERLINK("https://klasma.github.io/Logging_1482/kartor_geotiff/A 6082-2025 georefererad karta.tif", "A 6082-2025")</f>
        <v/>
      </c>
      <c r="AA27">
        <f>HYPERLINK("https://klasma.github.io/Logging_1482/klagomål/A 6082-2025 FSC-klagomål.docx", "A 6082-2025")</f>
        <v/>
      </c>
      <c r="AB27">
        <f>HYPERLINK("https://klasma.github.io/Logging_1482/klagomålsmail/A 6082-2025 FSC-klagomål mail.docx", "A 6082-2025")</f>
        <v/>
      </c>
      <c r="AC27">
        <f>HYPERLINK("https://klasma.github.io/Logging_1482/tillsyn/A 6082-2025 tillsynsbegäran.docx", "A 6082-2025")</f>
        <v/>
      </c>
      <c r="AD27">
        <f>HYPERLINK("https://klasma.github.io/Logging_1482/tillsynsmail/A 6082-2025 tillsynsbegäran mail.docx", "A 6082-2025")</f>
        <v/>
      </c>
      <c r="AE27">
        <f>HYPERLINK("https://klasma.github.io/Logging_1482/fåglar/A 6082-2025 prioriterade fågelarter.docx", "A 6082-2025")</f>
        <v/>
      </c>
    </row>
    <row r="28" ht="15" customHeight="1">
      <c r="A28" t="inlineStr">
        <is>
          <t>A 44106-2026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46318</v>
      </c>
      <c r="E28" s="1" t="n">
        <v>46319</v>
      </c>
      <c r="F28" t="inlineStr">
        <is>
          <t>VÄSTRA GÖTALANDS LÄN</t>
        </is>
      </c>
      <c r="G28" t="inlineStr">
        <is>
          <t>KUNGÄLV</t>
        </is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Naggbjörnbär</t>
        </is>
      </c>
      <c r="W28">
        <f>HYPERLINK("https://klasma.github.io/Logging_1482/artfynd/A 44106-2026 artfynd.xlsx", "A 44106-2026")</f>
        <v/>
      </c>
      <c r="X28">
        <f>HYPERLINK("https://klasma.github.io/Logging_1482/kartor/A 44106-2026 karta.png", "A 44106-2026")</f>
        <v/>
      </c>
      <c r="Y28">
        <f>HYPERLINK("https://klasma.github.io/Logging_1482/kartor_geotiff/A 44106-2026 georefererad karta.tif", "A 44106-2026")</f>
        <v/>
      </c>
      <c r="AA28">
        <f>HYPERLINK("https://klasma.github.io/Logging_1482/klagomål/A 44106-2026 FSC-klagomål.docx", "A 44106-2026")</f>
        <v/>
      </c>
      <c r="AB28">
        <f>HYPERLINK("https://klasma.github.io/Logging_1482/klagomålsmail/A 44106-2026 FSC-klagomål mail.docx", "A 44106-2026")</f>
        <v/>
      </c>
      <c r="AC28">
        <f>HYPERLINK("https://klasma.github.io/Logging_1482/tillsyn/A 44106-2026 tillsynsbegäran.docx", "A 44106-2026")</f>
        <v/>
      </c>
      <c r="AD28">
        <f>HYPERLINK("https://klasma.github.io/Logging_1482/tillsynsmail/A 44106-2026 tillsynsbegäran mail.docx", "A 44106-2026")</f>
        <v/>
      </c>
    </row>
    <row r="29" ht="15" customHeight="1">
      <c r="A29" t="inlineStr">
        <is>
          <t>A 42407-2026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46307</v>
      </c>
      <c r="E29" s="1" t="n">
        <v>46319</v>
      </c>
      <c r="F29" t="inlineStr">
        <is>
          <t>VÄSTRA GÖTALANDS LÄN</t>
        </is>
      </c>
      <c r="G29" t="inlineStr">
        <is>
          <t>KUNGÄLV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HYPERLINK("https://klasma.github.io/Logging_1482/artfynd/A 42407-2026 artfynd.xlsx", "A 42407-2026")</f>
        <v/>
      </c>
      <c r="X29">
        <f>HYPERLINK("https://klasma.github.io/Logging_1482/kartor/A 42407-2026 karta.png", "A 42407-2026")</f>
        <v/>
      </c>
      <c r="Y29">
        <f>HYPERLINK("https://klasma.github.io/Logging_1482/kartor_geotiff/A 42407-2026 georefererad karta.tif", "A 42407-2026")</f>
        <v/>
      </c>
      <c r="AA29">
        <f>HYPERLINK("https://klasma.github.io/Logging_1482/klagomål/A 42407-2026 FSC-klagomål.docx", "A 42407-2026")</f>
        <v/>
      </c>
      <c r="AB29">
        <f>HYPERLINK("https://klasma.github.io/Logging_1482/klagomålsmail/A 42407-2026 FSC-klagomål mail.docx", "A 42407-2026")</f>
        <v/>
      </c>
      <c r="AC29">
        <f>HYPERLINK("https://klasma.github.io/Logging_1482/tillsyn/A 42407-2026 tillsynsbegäran.docx", "A 42407-2026")</f>
        <v/>
      </c>
      <c r="AD29">
        <f>HYPERLINK("https://klasma.github.io/Logging_1482/tillsynsmail/A 42407-2026 tillsynsbegäran mail.docx", "A 42407-2026")</f>
        <v/>
      </c>
    </row>
    <row r="30" ht="15" customHeight="1">
      <c r="A30" t="inlineStr">
        <is>
          <t>A 19132-2022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44691</v>
      </c>
      <c r="E30" s="1" t="n">
        <v>46319</v>
      </c>
      <c r="F30" t="inlineStr">
        <is>
          <t>VÄSTRA GÖTALANDS LÄN</t>
        </is>
      </c>
      <c r="G30" t="inlineStr">
        <is>
          <t>KUNGÄLV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44691</v>
      </c>
      <c r="E31" s="1" t="n">
        <v>46319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43709-2022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44836</v>
      </c>
      <c r="E32" s="1" t="n">
        <v>46319</v>
      </c>
      <c r="F32" t="inlineStr">
        <is>
          <t>VÄSTRA GÖTALANDS LÄN</t>
        </is>
      </c>
      <c r="G32" t="inlineStr">
        <is>
          <t>KUNGÄLV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46319</v>
      </c>
      <c r="F33" t="inlineStr">
        <is>
          <t>VÄSTRA GÖTALANDS LÄN</t>
        </is>
      </c>
      <c r="G33" t="inlineStr">
        <is>
          <t>KUNGÄLV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46319</v>
      </c>
      <c r="F34" t="inlineStr">
        <is>
          <t>VÄSTRA GÖTALANDS LÄN</t>
        </is>
      </c>
      <c r="G34" t="inlineStr">
        <is>
          <t>KUNGÄLV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46319</v>
      </c>
      <c r="F35" t="inlineStr">
        <is>
          <t>VÄSTRA GÖTALANDS LÄN</t>
        </is>
      </c>
      <c r="G35" t="inlineStr">
        <is>
          <t>KUNGÄLV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46319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46319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44757</v>
      </c>
      <c r="E38" s="1" t="n">
        <v>46319</v>
      </c>
      <c r="F38" t="inlineStr">
        <is>
          <t>VÄSTRA GÖTALANDS LÄN</t>
        </is>
      </c>
      <c r="G38" t="inlineStr">
        <is>
          <t>KUNGÄLV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46319</v>
      </c>
      <c r="F39" t="inlineStr">
        <is>
          <t>VÄSTRA GÖTALANDS LÄN</t>
        </is>
      </c>
      <c r="G39" t="inlineStr">
        <is>
          <t>KUNGÄLV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56782-2022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44894</v>
      </c>
      <c r="E40" s="1" t="n">
        <v>46319</v>
      </c>
      <c r="F40" t="inlineStr">
        <is>
          <t>VÄSTRA GÖTALANDS LÄN</t>
        </is>
      </c>
      <c r="G40" t="inlineStr">
        <is>
          <t>KUNGÄLV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40951-2025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45897</v>
      </c>
      <c r="E41" s="1" t="n">
        <v>46319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23607-2026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46319</v>
      </c>
      <c r="F42" t="inlineStr">
        <is>
          <t>VÄSTRA GÖTALANDS LÄN</t>
        </is>
      </c>
      <c r="G42" t="inlineStr">
        <is>
          <t>KUNGÄLV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45124-2025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45919</v>
      </c>
      <c r="E43" s="1" t="n">
        <v>46319</v>
      </c>
      <c r="F43" t="inlineStr">
        <is>
          <t>VÄSTRA GÖTALANDS LÄN</t>
        </is>
      </c>
      <c r="G43" t="inlineStr">
        <is>
          <t>KUNGÄLV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26812-2024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45470</v>
      </c>
      <c r="E44" s="1" t="n">
        <v>46319</v>
      </c>
      <c r="F44" t="inlineStr">
        <is>
          <t>VÄSTRA GÖTALANDS LÄN</t>
        </is>
      </c>
      <c r="G44" t="inlineStr">
        <is>
          <t>KUNGÄLV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25135-2025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45798</v>
      </c>
      <c r="E45" s="1" t="n">
        <v>46319</v>
      </c>
      <c r="F45" t="inlineStr">
        <is>
          <t>VÄSTRA GÖTALANDS LÄN</t>
        </is>
      </c>
      <c r="G45" t="inlineStr">
        <is>
          <t>KUNGÄLV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47564-2025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45931</v>
      </c>
      <c r="E46" s="1" t="n">
        <v>46319</v>
      </c>
      <c r="F46" t="inlineStr">
        <is>
          <t>VÄSTRA GÖTALANDS LÄN</t>
        </is>
      </c>
      <c r="G46" t="inlineStr">
        <is>
          <t>KUNGÄLV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13880-2024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45391</v>
      </c>
      <c r="E47" s="1" t="n">
        <v>46319</v>
      </c>
      <c r="F47" t="inlineStr">
        <is>
          <t>VÄSTRA GÖTALANDS LÄN</t>
        </is>
      </c>
      <c r="G47" t="inlineStr">
        <is>
          <t>KUNGÄLV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45308</v>
      </c>
      <c r="E48" s="1" t="n">
        <v>46319</v>
      </c>
      <c r="F48" t="inlineStr">
        <is>
          <t>VÄSTRA GÖTALANDS LÄN</t>
        </is>
      </c>
      <c r="G48" t="inlineStr">
        <is>
          <t>KUNGÄLV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45990-2022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46319</v>
      </c>
      <c r="F49" t="inlineStr">
        <is>
          <t>VÄSTRA GÖTALANDS LÄN</t>
        </is>
      </c>
      <c r="G49" t="inlineStr">
        <is>
          <t>KUNGÄLV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46319</v>
      </c>
      <c r="F50" t="inlineStr">
        <is>
          <t>VÄSTRA GÖTALANDS LÄN</t>
        </is>
      </c>
      <c r="G50" t="inlineStr">
        <is>
          <t>KUNGÄLV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44989</v>
      </c>
      <c r="E51" s="1" t="n">
        <v>46319</v>
      </c>
      <c r="F51" t="inlineStr">
        <is>
          <t>VÄSTRA GÖTALANDS LÄN</t>
        </is>
      </c>
      <c r="G51" t="inlineStr">
        <is>
          <t>KUNGÄLV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46319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45426</v>
      </c>
      <c r="E53" s="1" t="n">
        <v>46319</v>
      </c>
      <c r="F53" t="inlineStr">
        <is>
          <t>VÄSTRA GÖTALANDS LÄN</t>
        </is>
      </c>
      <c r="G53" t="inlineStr">
        <is>
          <t>KUNGÄLV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21389-2023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45063</v>
      </c>
      <c r="E54" s="1" t="n">
        <v>46319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46319</v>
      </c>
      <c r="F55" t="inlineStr">
        <is>
          <t>VÄSTRA GÖTALANDS LÄN</t>
        </is>
      </c>
      <c r="G55" t="inlineStr">
        <is>
          <t>KUNGÄLV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46319</v>
      </c>
      <c r="F56" t="inlineStr">
        <is>
          <t>VÄSTRA GÖTALANDS LÄN</t>
        </is>
      </c>
      <c r="G56" t="inlineStr">
        <is>
          <t>KUNGÄLV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23457-2024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45453</v>
      </c>
      <c r="E57" s="1" t="n">
        <v>46319</v>
      </c>
      <c r="F57" t="inlineStr">
        <is>
          <t>VÄSTRA GÖTALANDS LÄN</t>
        </is>
      </c>
      <c r="G57" t="inlineStr">
        <is>
          <t>KUNGÄLV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39714-2024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45552</v>
      </c>
      <c r="E58" s="1" t="n">
        <v>46319</v>
      </c>
      <c r="F58" t="inlineStr">
        <is>
          <t>VÄSTRA GÖTALANDS LÄN</t>
        </is>
      </c>
      <c r="G58" t="inlineStr">
        <is>
          <t>KUNGÄLV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18852-2024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45426</v>
      </c>
      <c r="E59" s="1" t="n">
        <v>46319</v>
      </c>
      <c r="F59" t="inlineStr">
        <is>
          <t>VÄSTRA GÖTALANDS LÄN</t>
        </is>
      </c>
      <c r="G59" t="inlineStr">
        <is>
          <t>KUNGÄLV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30738-2026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46211</v>
      </c>
      <c r="E60" s="1" t="n">
        <v>46319</v>
      </c>
      <c r="F60" t="inlineStr">
        <is>
          <t>VÄSTRA GÖTALANDS LÄN</t>
        </is>
      </c>
      <c r="G60" t="inlineStr">
        <is>
          <t>KUNGÄLV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30859-2026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46212</v>
      </c>
      <c r="E61" s="1" t="n">
        <v>46319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46319</v>
      </c>
      <c r="F62" t="inlineStr">
        <is>
          <t>VÄSTRA GÖTALANDS LÄN</t>
        </is>
      </c>
      <c r="G62" t="inlineStr">
        <is>
          <t>KUNGÄLV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38262-2026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46281</v>
      </c>
      <c r="E63" s="1" t="n">
        <v>46319</v>
      </c>
      <c r="F63" t="inlineStr">
        <is>
          <t>VÄSTRA GÖTALANDS LÄN</t>
        </is>
      </c>
      <c r="G63" t="inlineStr">
        <is>
          <t>KUNGÄLV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46319</v>
      </c>
      <c r="F64" t="inlineStr">
        <is>
          <t>VÄSTRA GÖTALANDS LÄN</t>
        </is>
      </c>
      <c r="G64" t="inlineStr">
        <is>
          <t>KUNGÄLV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11237-2025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45726</v>
      </c>
      <c r="E65" s="1" t="n">
        <v>46319</v>
      </c>
      <c r="F65" t="inlineStr">
        <is>
          <t>VÄSTRA GÖTALANDS LÄN</t>
        </is>
      </c>
      <c r="G65" t="inlineStr">
        <is>
          <t>KUNGÄLV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46319</v>
      </c>
      <c r="F66" t="inlineStr">
        <is>
          <t>VÄSTRA GÖTALANDS LÄN</t>
        </is>
      </c>
      <c r="G66" t="inlineStr">
        <is>
          <t>KUNGÄLV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74285-2021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44558</v>
      </c>
      <c r="E67" s="1" t="n">
        <v>46319</v>
      </c>
      <c r="F67" t="inlineStr">
        <is>
          <t>VÄSTRA GÖTALANDS LÄN</t>
        </is>
      </c>
      <c r="G67" t="inlineStr">
        <is>
          <t>KUNGÄLV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46319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46048</v>
      </c>
      <c r="E69" s="1" t="n">
        <v>46319</v>
      </c>
      <c r="F69" t="inlineStr">
        <is>
          <t>VÄSTRA GÖTALANDS LÄN</t>
        </is>
      </c>
      <c r="G69" t="inlineStr">
        <is>
          <t>KUNGÄLV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6946-2026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46057</v>
      </c>
      <c r="E70" s="1" t="n">
        <v>46319</v>
      </c>
      <c r="F70" t="inlineStr">
        <is>
          <t>VÄSTRA GÖTALANDS LÄN</t>
        </is>
      </c>
      <c r="G70" t="inlineStr">
        <is>
          <t>KUNGÄLV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61417-2022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46319</v>
      </c>
      <c r="F71" t="inlineStr">
        <is>
          <t>VÄSTRA GÖTALANDS LÄN</t>
        </is>
      </c>
      <c r="G71" t="inlineStr">
        <is>
          <t>KUNGÄLV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45120</v>
      </c>
      <c r="E72" s="1" t="n">
        <v>46319</v>
      </c>
      <c r="F72" t="inlineStr">
        <is>
          <t>VÄSTRA GÖTALANDS LÄN</t>
        </is>
      </c>
      <c r="G72" t="inlineStr">
        <is>
          <t>KUNGÄLV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45124</v>
      </c>
      <c r="E73" s="1" t="n">
        <v>46319</v>
      </c>
      <c r="F73" t="inlineStr">
        <is>
          <t>VÄSTRA GÖTALANDS LÄN</t>
        </is>
      </c>
      <c r="G73" t="inlineStr">
        <is>
          <t>KUNGÄLV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45877</v>
      </c>
      <c r="E74" s="1" t="n">
        <v>46319</v>
      </c>
      <c r="F74" t="inlineStr">
        <is>
          <t>VÄSTRA GÖTALANDS LÄN</t>
        </is>
      </c>
      <c r="G74" t="inlineStr">
        <is>
          <t>KUNGÄLV</t>
        </is>
      </c>
      <c r="H74" t="inlineStr">
        <is>
          <t>Kyrkan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46319</v>
      </c>
      <c r="F75" t="inlineStr">
        <is>
          <t>VÄSTRA GÖTALANDS LÄN</t>
        </is>
      </c>
      <c r="G75" t="inlineStr">
        <is>
          <t>KUNGÄLV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46319</v>
      </c>
      <c r="F76" t="inlineStr">
        <is>
          <t>VÄSTRA GÖTALANDS LÄN</t>
        </is>
      </c>
      <c r="G76" t="inlineStr">
        <is>
          <t>KUNGÄLV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46319</v>
      </c>
      <c r="F77" t="inlineStr">
        <is>
          <t>VÄSTRA GÖTALANDS LÄN</t>
        </is>
      </c>
      <c r="G77" t="inlineStr">
        <is>
          <t>KUNGÄLV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46319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46098</v>
      </c>
      <c r="E79" s="1" t="n">
        <v>46319</v>
      </c>
      <c r="F79" t="inlineStr">
        <is>
          <t>VÄSTRA GÖTALANDS LÄN</t>
        </is>
      </c>
      <c r="G79" t="inlineStr">
        <is>
          <t>KUNGÄLV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41656-2026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46302</v>
      </c>
      <c r="E80" s="1" t="n">
        <v>46319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25624-2025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46319</v>
      </c>
      <c r="F81" t="inlineStr">
        <is>
          <t>VÄSTRA GÖTALANDS LÄN</t>
        </is>
      </c>
      <c r="G81" t="inlineStr">
        <is>
          <t>KUNGÄLV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46319</v>
      </c>
      <c r="F82" t="inlineStr">
        <is>
          <t>VÄSTRA GÖTALANDS LÄN</t>
        </is>
      </c>
      <c r="G82" t="inlineStr">
        <is>
          <t>KUNGÄLV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41442-2025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45869</v>
      </c>
      <c r="E83" s="1" t="n">
        <v>46319</v>
      </c>
      <c r="F83" t="inlineStr">
        <is>
          <t>VÄSTRA GÖTALANDS LÄN</t>
        </is>
      </c>
      <c r="G83" t="inlineStr">
        <is>
          <t>KUNGÄLV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45482</v>
      </c>
      <c r="E84" s="1" t="n">
        <v>46319</v>
      </c>
      <c r="F84" t="inlineStr">
        <is>
          <t>VÄSTRA GÖTALANDS LÄN</t>
        </is>
      </c>
      <c r="G84" t="inlineStr">
        <is>
          <t>KUNGÄLV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46319</v>
      </c>
      <c r="F85" t="inlineStr">
        <is>
          <t>VÄSTRA GÖTALANDS LÄN</t>
        </is>
      </c>
      <c r="G85" t="inlineStr">
        <is>
          <t>KUNGÄLV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46319</v>
      </c>
      <c r="F86" t="inlineStr">
        <is>
          <t>VÄSTRA GÖTALANDS LÄN</t>
        </is>
      </c>
      <c r="G86" t="inlineStr">
        <is>
          <t>KUNGÄLV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43193-2026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46313</v>
      </c>
      <c r="E87" s="1" t="n">
        <v>46319</v>
      </c>
      <c r="F87" t="inlineStr">
        <is>
          <t>VÄSTRA GÖTALANDS LÄN</t>
        </is>
      </c>
      <c r="G87" t="inlineStr">
        <is>
          <t>KUNGÄLV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43191-2026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46313</v>
      </c>
      <c r="E88" s="1" t="n">
        <v>46319</v>
      </c>
      <c r="F88" t="inlineStr">
        <is>
          <t>VÄSTRA GÖTALANDS LÄN</t>
        </is>
      </c>
      <c r="G88" t="inlineStr">
        <is>
          <t>KUNGÄLV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8334-2023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44975</v>
      </c>
      <c r="E89" s="1" t="n">
        <v>46319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45844</v>
      </c>
      <c r="E90" s="1" t="n">
        <v>46319</v>
      </c>
      <c r="F90" t="inlineStr">
        <is>
          <t>VÄSTRA GÖTALANDS LÄN</t>
        </is>
      </c>
      <c r="G90" t="inlineStr">
        <is>
          <t>KUNGÄLV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46157</v>
      </c>
      <c r="E91" s="1" t="n">
        <v>46319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45837</v>
      </c>
      <c r="E92" s="1" t="n">
        <v>46319</v>
      </c>
      <c r="F92" t="inlineStr">
        <is>
          <t>VÄSTRA GÖTALANDS LÄN</t>
        </is>
      </c>
      <c r="G92" t="inlineStr">
        <is>
          <t>KUNGÄLV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46319</v>
      </c>
      <c r="F93" t="inlineStr">
        <is>
          <t>VÄSTRA GÖTALANDS LÄN</t>
        </is>
      </c>
      <c r="G93" t="inlineStr">
        <is>
          <t>KUNGÄLV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46319</v>
      </c>
      <c r="F94" t="inlineStr">
        <is>
          <t>VÄSTRA GÖTALANDS LÄN</t>
        </is>
      </c>
      <c r="G94" t="inlineStr">
        <is>
          <t>KUNGÄLV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45082</v>
      </c>
      <c r="E95" s="1" t="n">
        <v>46319</v>
      </c>
      <c r="F95" t="inlineStr">
        <is>
          <t>VÄSTRA GÖTALANDS LÄN</t>
        </is>
      </c>
      <c r="G95" t="inlineStr">
        <is>
          <t>KUNGÄLV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44928</v>
      </c>
      <c r="E96" s="1" t="n">
        <v>46319</v>
      </c>
      <c r="F96" t="inlineStr">
        <is>
          <t>VÄSTRA GÖTALANDS LÄN</t>
        </is>
      </c>
      <c r="G96" t="inlineStr">
        <is>
          <t>KUNGÄLV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46319</v>
      </c>
      <c r="F97" t="inlineStr">
        <is>
          <t>VÄSTRA GÖTALANDS LÄN</t>
        </is>
      </c>
      <c r="G97" t="inlineStr">
        <is>
          <t>KUNGÄLV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45347</v>
      </c>
      <c r="E98" s="1" t="n">
        <v>46319</v>
      </c>
      <c r="F98" t="inlineStr">
        <is>
          <t>VÄSTRA GÖTALANDS LÄN</t>
        </is>
      </c>
      <c r="G98" t="inlineStr">
        <is>
          <t>KUNGÄLV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46319</v>
      </c>
      <c r="F99" t="inlineStr">
        <is>
          <t>VÄSTRA GÖTALANDS LÄN</t>
        </is>
      </c>
      <c r="G99" t="inlineStr">
        <is>
          <t>KUNGÄLV</t>
        </is>
      </c>
      <c r="I99" t="n">
        <v>13.3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45757</v>
      </c>
      <c r="E100" s="1" t="n">
        <v>46319</v>
      </c>
      <c r="F100" t="inlineStr">
        <is>
          <t>VÄSTRA GÖTALANDS LÄN</t>
        </is>
      </c>
      <c r="G100" t="inlineStr">
        <is>
          <t>KUNGÄLV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19531-2023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45050</v>
      </c>
      <c r="E101" s="1" t="n">
        <v>46319</v>
      </c>
      <c r="F101" t="inlineStr">
        <is>
          <t>VÄSTRA GÖTALANDS LÄN</t>
        </is>
      </c>
      <c r="G101" t="inlineStr">
        <is>
          <t>KUNGÄLV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5705-2025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45694</v>
      </c>
      <c r="E102" s="1" t="n">
        <v>46319</v>
      </c>
      <c r="F102" t="inlineStr">
        <is>
          <t>VÄSTRA GÖTALANDS LÄN</t>
        </is>
      </c>
      <c r="G102" t="inlineStr">
        <is>
          <t>KUNGÄLV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45271</v>
      </c>
      <c r="E103" s="1" t="n">
        <v>46319</v>
      </c>
      <c r="F103" t="inlineStr">
        <is>
          <t>VÄSTRA GÖTALANDS LÄN</t>
        </is>
      </c>
      <c r="G103" t="inlineStr">
        <is>
          <t>KUNGÄLV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46319</v>
      </c>
      <c r="F104" t="inlineStr">
        <is>
          <t>VÄSTRA GÖTALANDS LÄN</t>
        </is>
      </c>
      <c r="G104" t="inlineStr">
        <is>
          <t>KUNGÄLV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44755</v>
      </c>
      <c r="E105" s="1" t="n">
        <v>46319</v>
      </c>
      <c r="F105" t="inlineStr">
        <is>
          <t>VÄSTRA GÖTALANDS LÄN</t>
        </is>
      </c>
      <c r="G105" t="inlineStr">
        <is>
          <t>KUNGÄLV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46319</v>
      </c>
      <c r="F106" t="inlineStr">
        <is>
          <t>VÄSTRA GÖTALANDS LÄN</t>
        </is>
      </c>
      <c r="G106" t="inlineStr">
        <is>
          <t>KUNGÄLV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71835-2021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44543</v>
      </c>
      <c r="E107" s="1" t="n">
        <v>46319</v>
      </c>
      <c r="F107" t="inlineStr">
        <is>
          <t>VÄSTRA GÖTALANDS LÄN</t>
        </is>
      </c>
      <c r="G107" t="inlineStr">
        <is>
          <t>KUNGÄLV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>
      <c r="A108" t="inlineStr">
        <is>
          <t>S 817-2024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45371</v>
      </c>
      <c r="E108" s="1" t="n">
        <v>46319</v>
      </c>
      <c r="F108" t="inlineStr">
        <is>
          <t>VÄSTRA GÖTALANDS LÄN</t>
        </is>
      </c>
      <c r="G108" t="inlineStr">
        <is>
          <t>KUNGÄLV</t>
        </is>
      </c>
      <c r="H108" t="inlineStr">
        <is>
          <t>Övriga statliga verk och myndigheter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2026-10-24T02:03:18Z</dcterms:created>
  <dcterms:modified xmlns:dcterms="http://purl.org/dc/terms/" xmlns:xsi="http://www.w3.org/2001/XMLSchema-instance" xsi:type="dcterms:W3CDTF">2026-10-24T02:03:18Z</dcterms:modified>
</cp:coreProperties>
</file>