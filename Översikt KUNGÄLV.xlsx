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45941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45941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45941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45941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45941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45941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45941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45941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45941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45243-2025</t>
        </is>
      </c>
      <c r="B13" s="1" t="n">
        <v>45919.60089120371</v>
      </c>
      <c r="C13" s="1" t="n">
        <v>45941</v>
      </c>
      <c r="D13" t="inlineStr">
        <is>
          <t>VÄSTRA GÖTALANDS LÄN</t>
        </is>
      </c>
      <c r="E13" t="inlineStr">
        <is>
          <t>KUNGÄLV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45243-2025 artfynd.xlsx", "A 45243-2025")</f>
        <v/>
      </c>
      <c r="T13">
        <f>HYPERLINK("https://klasma.github.io/Logging_1482/kartor/A 45243-2025 karta.png", "A 45243-2025")</f>
        <v/>
      </c>
      <c r="V13">
        <f>HYPERLINK("https://klasma.github.io/Logging_1482/klagomål/A 45243-2025 FSC-klagomål.docx", "A 45243-2025")</f>
        <v/>
      </c>
      <c r="W13">
        <f>HYPERLINK("https://klasma.github.io/Logging_1482/klagomålsmail/A 45243-2025 FSC-klagomål mail.docx", "A 45243-2025")</f>
        <v/>
      </c>
      <c r="X13">
        <f>HYPERLINK("https://klasma.github.io/Logging_1482/tillsyn/A 45243-2025 tillsynsbegäran.docx", "A 45243-2025")</f>
        <v/>
      </c>
      <c r="Y13">
        <f>HYPERLINK("https://klasma.github.io/Logging_1482/tillsynsmail/A 45243-2025 tillsynsbegäran mail.docx", "A 45243-2025")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45941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45941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45941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45941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45941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45941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45941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45941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45941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45941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45941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45941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45941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48311-2021</t>
        </is>
      </c>
      <c r="B27" s="1" t="n">
        <v>44450</v>
      </c>
      <c r="C27" s="1" t="n">
        <v>45941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45941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45941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45941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45941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45941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45941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41765-2021</t>
        </is>
      </c>
      <c r="B34" s="1" t="n">
        <v>44425</v>
      </c>
      <c r="C34" s="1" t="n">
        <v>45941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53539-2020</t>
        </is>
      </c>
      <c r="B35" s="1" t="n">
        <v>44124</v>
      </c>
      <c r="C35" s="1" t="n">
        <v>45941</v>
      </c>
      <c r="D35" t="inlineStr">
        <is>
          <t>VÄSTRA GÖTALANDS LÄN</t>
        </is>
      </c>
      <c r="E35" t="inlineStr">
        <is>
          <t>KUNGÄLV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45941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43520-2022</t>
        </is>
      </c>
      <c r="B37" s="1" t="n">
        <v>44837.37417824074</v>
      </c>
      <c r="C37" s="1" t="n">
        <v>45941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45941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45941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61417-2022</t>
        </is>
      </c>
      <c r="B40" s="1" t="n">
        <v>44916.35082175926</v>
      </c>
      <c r="C40" s="1" t="n">
        <v>45941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50071-2023</t>
        </is>
      </c>
      <c r="B41" s="1" t="n">
        <v>45215</v>
      </c>
      <c r="C41" s="1" t="n">
        <v>45941</v>
      </c>
      <c r="D41" t="inlineStr">
        <is>
          <t>VÄSTRA GÖTALANDS LÄN</t>
        </is>
      </c>
      <c r="E41" t="inlineStr">
        <is>
          <t>KUNGÄLV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30170-2022</t>
        </is>
      </c>
      <c r="B42" s="1" t="n">
        <v>44757</v>
      </c>
      <c r="C42" s="1" t="n">
        <v>45941</v>
      </c>
      <c r="D42" t="inlineStr">
        <is>
          <t>VÄSTRA GÖTALANDS LÄN</t>
        </is>
      </c>
      <c r="E42" t="inlineStr">
        <is>
          <t>KUNGÄLV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32272-2023</t>
        </is>
      </c>
      <c r="B43" s="1" t="n">
        <v>45120.35368055556</v>
      </c>
      <c r="C43" s="1" t="n">
        <v>45941</v>
      </c>
      <c r="D43" t="inlineStr">
        <is>
          <t>VÄSTRA GÖTALANDS LÄN</t>
        </is>
      </c>
      <c r="E43" t="inlineStr">
        <is>
          <t>KUNGÄLV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27463-2024</t>
        </is>
      </c>
      <c r="B44" s="1" t="n">
        <v>45474.45266203704</v>
      </c>
      <c r="C44" s="1" t="n">
        <v>45941</v>
      </c>
      <c r="D44" t="inlineStr">
        <is>
          <t>VÄSTRA GÖTALANDS LÄN</t>
        </is>
      </c>
      <c r="E44" t="inlineStr">
        <is>
          <t>KUNGÄLV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32847-2023</t>
        </is>
      </c>
      <c r="B45" s="1" t="n">
        <v>45124.61965277778</v>
      </c>
      <c r="C45" s="1" t="n">
        <v>45941</v>
      </c>
      <c r="D45" t="inlineStr">
        <is>
          <t>VÄSTRA GÖTALANDS LÄN</t>
        </is>
      </c>
      <c r="E45" t="inlineStr">
        <is>
          <t>KUNGÄLV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53755-2020</t>
        </is>
      </c>
      <c r="B46" s="1" t="n">
        <v>44124</v>
      </c>
      <c r="C46" s="1" t="n">
        <v>45941</v>
      </c>
      <c r="D46" t="inlineStr">
        <is>
          <t>VÄSTRA GÖTALANDS LÄN</t>
        </is>
      </c>
      <c r="E46" t="inlineStr">
        <is>
          <t>KUNGÄLV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10655-2022</t>
        </is>
      </c>
      <c r="B47" s="1" t="n">
        <v>44624</v>
      </c>
      <c r="C47" s="1" t="n">
        <v>45941</v>
      </c>
      <c r="D47" t="inlineStr">
        <is>
          <t>VÄSTRA GÖTALANDS LÄN</t>
        </is>
      </c>
      <c r="E47" t="inlineStr">
        <is>
          <t>KUNGÄLV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45941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17451-2025</t>
        </is>
      </c>
      <c r="B49" s="1" t="n">
        <v>45757.44825231482</v>
      </c>
      <c r="C49" s="1" t="n">
        <v>45941</v>
      </c>
      <c r="D49" t="inlineStr">
        <is>
          <t>VÄSTRA GÖTALANDS LÄN</t>
        </is>
      </c>
      <c r="E49" t="inlineStr">
        <is>
          <t>KUNGÄLV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17455-2025</t>
        </is>
      </c>
      <c r="B50" s="1" t="n">
        <v>45757.45109953704</v>
      </c>
      <c r="C50" s="1" t="n">
        <v>45941</v>
      </c>
      <c r="D50" t="inlineStr">
        <is>
          <t>VÄSTRA GÖTALANDS LÄN</t>
        </is>
      </c>
      <c r="E50" t="inlineStr">
        <is>
          <t>KUNGÄLV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13880-2024</t>
        </is>
      </c>
      <c r="B51" s="1" t="n">
        <v>45391.59994212963</v>
      </c>
      <c r="C51" s="1" t="n">
        <v>45941</v>
      </c>
      <c r="D51" t="inlineStr">
        <is>
          <t>VÄSTRA GÖTALANDS LÄN</t>
        </is>
      </c>
      <c r="E51" t="inlineStr">
        <is>
          <t>KUNGÄLV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45941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6041-2025</t>
        </is>
      </c>
      <c r="B53" s="1" t="n">
        <v>45695.66287037037</v>
      </c>
      <c r="C53" s="1" t="n">
        <v>45941</v>
      </c>
      <c r="D53" t="inlineStr">
        <is>
          <t>VÄSTRA GÖTALANDS LÄN</t>
        </is>
      </c>
      <c r="E53" t="inlineStr">
        <is>
          <t>KUNGÄLV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45941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45941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45941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4263-2024</t>
        </is>
      </c>
      <c r="B57" s="1" t="n">
        <v>45324.51049768519</v>
      </c>
      <c r="C57" s="1" t="n">
        <v>45941</v>
      </c>
      <c r="D57" t="inlineStr">
        <is>
          <t>VÄSTRA GÖTALANDS LÄN</t>
        </is>
      </c>
      <c r="E57" t="inlineStr">
        <is>
          <t>KUNGÄLV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45941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25135-2025</t>
        </is>
      </c>
      <c r="B59" s="1" t="n">
        <v>45798</v>
      </c>
      <c r="C59" s="1" t="n">
        <v>45941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45941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32391-2025</t>
        </is>
      </c>
      <c r="B61" s="1" t="n">
        <v>45837.90662037037</v>
      </c>
      <c r="C61" s="1" t="n">
        <v>45941</v>
      </c>
      <c r="D61" t="inlineStr">
        <is>
          <t>VÄSTRA GÖTALANDS LÄN</t>
        </is>
      </c>
      <c r="E61" t="inlineStr">
        <is>
          <t>KUNGÄLV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45941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45941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5705-2025</t>
        </is>
      </c>
      <c r="B64" s="1" t="n">
        <v>45694</v>
      </c>
      <c r="C64" s="1" t="n">
        <v>45941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49985-2023</t>
        </is>
      </c>
      <c r="B65" s="1" t="n">
        <v>45215</v>
      </c>
      <c r="C65" s="1" t="n">
        <v>45941</v>
      </c>
      <c r="D65" t="inlineStr">
        <is>
          <t>VÄSTRA GÖTALANDS LÄN</t>
        </is>
      </c>
      <c r="E65" t="inlineStr">
        <is>
          <t>KUNGÄLV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45941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62979-2023</t>
        </is>
      </c>
      <c r="B67" s="1" t="n">
        <v>45271</v>
      </c>
      <c r="C67" s="1" t="n">
        <v>45941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17922-2025</t>
        </is>
      </c>
      <c r="B68" s="1" t="n">
        <v>45758.90710648148</v>
      </c>
      <c r="C68" s="1" t="n">
        <v>45941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45941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45941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16538-2025</t>
        </is>
      </c>
      <c r="B71" s="1" t="n">
        <v>45751.66126157407</v>
      </c>
      <c r="C71" s="1" t="n">
        <v>45941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45941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29801-2022</t>
        </is>
      </c>
      <c r="B73" s="1" t="n">
        <v>44755.70518518519</v>
      </c>
      <c r="C73" s="1" t="n">
        <v>45941</v>
      </c>
      <c r="D73" t="inlineStr">
        <is>
          <t>VÄSTRA GÖTALANDS LÄN</t>
        </is>
      </c>
      <c r="E73" t="inlineStr">
        <is>
          <t>KUNGÄLV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45941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6096-2025</t>
        </is>
      </c>
      <c r="B75" s="1" t="n">
        <v>45697</v>
      </c>
      <c r="C75" s="1" t="n">
        <v>45941</v>
      </c>
      <c r="D75" t="inlineStr">
        <is>
          <t>VÄSTRA GÖTALANDS LÄN</t>
        </is>
      </c>
      <c r="E75" t="inlineStr">
        <is>
          <t>KUNGÄLV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45941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4262-2024</t>
        </is>
      </c>
      <c r="B77" s="1" t="n">
        <v>45324.50902777778</v>
      </c>
      <c r="C77" s="1" t="n">
        <v>45941</v>
      </c>
      <c r="D77" t="inlineStr">
        <is>
          <t>VÄSTRA GÖTALANDS LÄN</t>
        </is>
      </c>
      <c r="E77" t="inlineStr">
        <is>
          <t>KUNGÄLV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47569-2025</t>
        </is>
      </c>
      <c r="B78" s="1" t="n">
        <v>45931.39331018519</v>
      </c>
      <c r="C78" s="1" t="n">
        <v>45941</v>
      </c>
      <c r="D78" t="inlineStr">
        <is>
          <t>VÄSTRA GÖTALANDS LÄN</t>
        </is>
      </c>
      <c r="E78" t="inlineStr">
        <is>
          <t>KUNGÄLV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71835-2021</t>
        </is>
      </c>
      <c r="B79" s="1" t="n">
        <v>44543.62230324074</v>
      </c>
      <c r="C79" s="1" t="n">
        <v>45941</v>
      </c>
      <c r="D79" t="inlineStr">
        <is>
          <t>VÄSTRA GÖTALANDS LÄN</t>
        </is>
      </c>
      <c r="E79" t="inlineStr">
        <is>
          <t>KUNGÄLV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47564-2025</t>
        </is>
      </c>
      <c r="B80" s="1" t="n">
        <v>45931.38982638889</v>
      </c>
      <c r="C80" s="1" t="n">
        <v>45941</v>
      </c>
      <c r="D80" t="inlineStr">
        <is>
          <t>VÄSTRA GÖTALANDS LÄN</t>
        </is>
      </c>
      <c r="E80" t="inlineStr">
        <is>
          <t>KUNGÄLV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37443-2025</t>
        </is>
      </c>
      <c r="B81" s="1" t="n">
        <v>45877.54152777778</v>
      </c>
      <c r="C81" s="1" t="n">
        <v>45941</v>
      </c>
      <c r="D81" t="inlineStr">
        <is>
          <t>VÄSTRA GÖTALANDS LÄN</t>
        </is>
      </c>
      <c r="E81" t="inlineStr">
        <is>
          <t>KUNGÄLV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45124-2025</t>
        </is>
      </c>
      <c r="B82" s="1" t="n">
        <v>45919.43206018519</v>
      </c>
      <c r="C82" s="1" t="n">
        <v>45941</v>
      </c>
      <c r="D82" t="inlineStr">
        <is>
          <t>VÄSTRA GÖTALANDS LÄN</t>
        </is>
      </c>
      <c r="E82" t="inlineStr">
        <is>
          <t>KUNGÄLV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21883-2021</t>
        </is>
      </c>
      <c r="B83" s="1" t="n">
        <v>44322</v>
      </c>
      <c r="C83" s="1" t="n">
        <v>45941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661-2025</t>
        </is>
      </c>
      <c r="B84" s="1" t="n">
        <v>45664.68572916667</v>
      </c>
      <c r="C84" s="1" t="n">
        <v>45941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43207-2025</t>
        </is>
      </c>
      <c r="B85" s="1" t="n">
        <v>45910.45111111111</v>
      </c>
      <c r="C85" s="1" t="n">
        <v>45941</v>
      </c>
      <c r="D85" t="inlineStr">
        <is>
          <t>VÄSTRA GÖTALANDS LÄN</t>
        </is>
      </c>
      <c r="E85" t="inlineStr">
        <is>
          <t>KUNGÄLV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40951-2025</t>
        </is>
      </c>
      <c r="B86" s="1" t="n">
        <v>45897.66342592592</v>
      </c>
      <c r="C86" s="1" t="n">
        <v>45941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3026-2021</t>
        </is>
      </c>
      <c r="B87" s="1" t="n">
        <v>44216</v>
      </c>
      <c r="C87" s="1" t="n">
        <v>45941</v>
      </c>
      <c r="D87" t="inlineStr">
        <is>
          <t>VÄSTRA GÖTALANDS LÄN</t>
        </is>
      </c>
      <c r="E87" t="inlineStr">
        <is>
          <t>KUNGÄLV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46588-2025</t>
        </is>
      </c>
      <c r="B88" s="1" t="n">
        <v>45926.39152777778</v>
      </c>
      <c r="C88" s="1" t="n">
        <v>45941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33244-2021</t>
        </is>
      </c>
      <c r="B89" s="1" t="n">
        <v>44377</v>
      </c>
      <c r="C89" s="1" t="n">
        <v>45941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56782-2022</t>
        </is>
      </c>
      <c r="B90" s="1" t="n">
        <v>44894.39475694444</v>
      </c>
      <c r="C90" s="1" t="n">
        <v>45941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26812-2024</t>
        </is>
      </c>
      <c r="B91" s="1" t="n">
        <v>45470.54344907407</v>
      </c>
      <c r="C91" s="1" t="n">
        <v>45941</v>
      </c>
      <c r="D91" t="inlineStr">
        <is>
          <t>VÄSTRA GÖTALANDS LÄN</t>
        </is>
      </c>
      <c r="E91" t="inlineStr">
        <is>
          <t>KUNGÄLV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24461-2023</t>
        </is>
      </c>
      <c r="B92" s="1" t="n">
        <v>45082</v>
      </c>
      <c r="C92" s="1" t="n">
        <v>45941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44928.53378472223</v>
      </c>
      <c r="C93" s="1" t="n">
        <v>45941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63319-2021</t>
        </is>
      </c>
      <c r="B94" s="1" t="n">
        <v>44508.45226851852</v>
      </c>
      <c r="C94" s="1" t="n">
        <v>45941</v>
      </c>
      <c r="D94" t="inlineStr">
        <is>
          <t>VÄSTRA GÖTALANDS LÄN</t>
        </is>
      </c>
      <c r="E94" t="inlineStr">
        <is>
          <t>KUNGÄLV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10810-2023</t>
        </is>
      </c>
      <c r="B95" s="1" t="n">
        <v>44989.75795138889</v>
      </c>
      <c r="C95" s="1" t="n">
        <v>45941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7505-2024</t>
        </is>
      </c>
      <c r="B96" s="1" t="n">
        <v>45347.93181712963</v>
      </c>
      <c r="C96" s="1" t="n">
        <v>45941</v>
      </c>
      <c r="D96" t="inlineStr">
        <is>
          <t>VÄSTRA GÖTALANDS LÄN</t>
        </is>
      </c>
      <c r="E96" t="inlineStr">
        <is>
          <t>KUNGÄLV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62128-2021</t>
        </is>
      </c>
      <c r="B97" s="1" t="n">
        <v>44502</v>
      </c>
      <c r="C97" s="1" t="n">
        <v>45941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21240-2023</t>
        </is>
      </c>
      <c r="B98" s="1" t="n">
        <v>45058</v>
      </c>
      <c r="C98" s="1" t="n">
        <v>45941</v>
      </c>
      <c r="D98" t="inlineStr">
        <is>
          <t>VÄSTRA GÖTALANDS LÄN</t>
        </is>
      </c>
      <c r="E98" t="inlineStr">
        <is>
          <t>KUNGÄLV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45941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21389-2023</t>
        </is>
      </c>
      <c r="B100" s="1" t="n">
        <v>45063</v>
      </c>
      <c r="C100" s="1" t="n">
        <v>45941</v>
      </c>
      <c r="D100" t="inlineStr">
        <is>
          <t>VÄSTRA GÖTALANDS LÄN</t>
        </is>
      </c>
      <c r="E100" t="inlineStr">
        <is>
          <t>KUNGÄLV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44176-2023</t>
        </is>
      </c>
      <c r="B101" s="1" t="n">
        <v>45188</v>
      </c>
      <c r="C101" s="1" t="n">
        <v>45941</v>
      </c>
      <c r="D101" t="inlineStr">
        <is>
          <t>VÄSTRA GÖTALANDS LÄN</t>
        </is>
      </c>
      <c r="E101" t="inlineStr">
        <is>
          <t>KUNGÄLV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45941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39714-2024</t>
        </is>
      </c>
      <c r="B103" s="1" t="n">
        <v>45552.60074074074</v>
      </c>
      <c r="C103" s="1" t="n">
        <v>45941</v>
      </c>
      <c r="D103" t="inlineStr">
        <is>
          <t>VÄSTRA GÖTALANDS LÄN</t>
        </is>
      </c>
      <c r="E103" t="inlineStr">
        <is>
          <t>KUNGÄLV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18852-2024</t>
        </is>
      </c>
      <c r="B104" s="1" t="n">
        <v>45426.69550925926</v>
      </c>
      <c r="C104" s="1" t="n">
        <v>45941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51724-2023</t>
        </is>
      </c>
      <c r="B105" s="1" t="n">
        <v>45222</v>
      </c>
      <c r="C105" s="1" t="n">
        <v>45941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34366-2022</t>
        </is>
      </c>
      <c r="B106" s="1" t="n">
        <v>44792</v>
      </c>
      <c r="C106" s="1" t="n">
        <v>45941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5631-2024</t>
        </is>
      </c>
      <c r="B107" s="1" t="n">
        <v>45334.61013888889</v>
      </c>
      <c r="C107" s="1" t="n">
        <v>45941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21579-2025</t>
        </is>
      </c>
      <c r="B108" s="1" t="n">
        <v>45782.91234953704</v>
      </c>
      <c r="C108" s="1" t="n">
        <v>45941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45941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45941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45941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45941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10677-2025</t>
        </is>
      </c>
      <c r="B113" s="1" t="n">
        <v>45721.89055555555</v>
      </c>
      <c r="C113" s="1" t="n">
        <v>45941</v>
      </c>
      <c r="D113" t="inlineStr">
        <is>
          <t>VÄSTRA GÖTALANDS LÄN</t>
        </is>
      </c>
      <c r="E113" t="inlineStr">
        <is>
          <t>KUNGÄLV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74285-2021</t>
        </is>
      </c>
      <c r="B114" s="1" t="n">
        <v>44558</v>
      </c>
      <c r="C114" s="1" t="n">
        <v>45941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2025-10-11T12:39:31Z</dcterms:created>
  <dcterms:modified xmlns:dcterms="http://purl.org/dc/terms/" xmlns:xsi="http://www.w3.org/2001/XMLSchema-instance" xsi:type="dcterms:W3CDTF">2025-10-11T12:39:31Z</dcterms:modified>
</cp:coreProperties>
</file>