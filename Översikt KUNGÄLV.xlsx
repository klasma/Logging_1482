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s="1" t="n">
        <v>45868.90353009259</v>
      </c>
      <c r="C3" s="1" t="n">
        <v>45899</v>
      </c>
      <c r="D3" t="inlineStr">
        <is>
          <t>VÄSTRA GÖTALANDS LÄN</t>
        </is>
      </c>
      <c r="E3" t="inlineStr">
        <is>
          <t>KUNGÄLV</t>
        </is>
      </c>
      <c r="G3" t="n">
        <v>16.9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HYPERLINK("https://klasma.github.io/Logging_1482/artfynd/A 36424-2025 artfynd.xlsx", "A 36424-2025")</f>
        <v/>
      </c>
      <c r="T3">
        <f>HYPERLINK("https://klasma.github.io/Logging_1482/kartor/A 36424-2025 karta.png", "A 36424-2025")</f>
        <v/>
      </c>
      <c r="V3">
        <f>HYPERLINK("https://klasma.github.io/Logging_1482/klagomål/A 36424-2025 FSC-klagomål.docx", "A 36424-2025")</f>
        <v/>
      </c>
      <c r="W3">
        <f>HYPERLINK("https://klasma.github.io/Logging_1482/klagomålsmail/A 36424-2025 FSC-klagomål mail.docx", "A 36424-2025")</f>
        <v/>
      </c>
      <c r="X3">
        <f>HYPERLINK("https://klasma.github.io/Logging_1482/tillsyn/A 36424-2025 tillsynsbegäran.docx", "A 36424-2025")</f>
        <v/>
      </c>
      <c r="Y3">
        <f>HYPERLINK("https://klasma.github.io/Logging_1482/tillsynsmail/A 36424-2025 tillsynsbegäran mail.docx", "A 36424-2025")</f>
        <v/>
      </c>
      <c r="Z3">
        <f>HYPERLINK("https://klasma.github.io/Logging_1482/fåglar/A 36424-2025 prioriterade fågelarter.docx", "A 36424-2025")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45899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34725-2024</t>
        </is>
      </c>
      <c r="B5" s="1" t="n">
        <v>45526.57324074074</v>
      </c>
      <c r="C5" s="1" t="n">
        <v>45899</v>
      </c>
      <c r="D5" t="inlineStr">
        <is>
          <t>VÄSTRA GÖTALANDS LÄN</t>
        </is>
      </c>
      <c r="E5" t="inlineStr">
        <is>
          <t>KUNGÄLV</t>
        </is>
      </c>
      <c r="G5" t="n">
        <v>14.3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HYPERLINK("https://klasma.github.io/Logging_1482/artfynd/A 34725-2024 artfynd.xlsx", "A 34725-2024")</f>
        <v/>
      </c>
      <c r="T5">
        <f>HYPERLINK("https://klasma.github.io/Logging_1482/kartor/A 34725-2024 karta.png", "A 34725-2024")</f>
        <v/>
      </c>
      <c r="V5">
        <f>HYPERLINK("https://klasma.github.io/Logging_1482/klagomål/A 34725-2024 FSC-klagomål.docx", "A 34725-2024")</f>
        <v/>
      </c>
      <c r="W5">
        <f>HYPERLINK("https://klasma.github.io/Logging_1482/klagomålsmail/A 34725-2024 FSC-klagomål mail.docx", "A 34725-2024")</f>
        <v/>
      </c>
      <c r="X5">
        <f>HYPERLINK("https://klasma.github.io/Logging_1482/tillsyn/A 34725-2024 tillsynsbegäran.docx", "A 34725-2024")</f>
        <v/>
      </c>
      <c r="Y5">
        <f>HYPERLINK("https://klasma.github.io/Logging_1482/tillsynsmail/A 34725-2024 tillsynsbegäran mail.docx", "A 34725-2024")</f>
        <v/>
      </c>
      <c r="Z5">
        <f>HYPERLINK("https://klasma.github.io/Logging_1482/fåglar/A 34725-2024 prioriterade fågelarter.docx", "A 34725-2024")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45899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45899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45899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45899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45899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45899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45899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4892-2021</t>
        </is>
      </c>
      <c r="B13" s="1" t="n">
        <v>44224</v>
      </c>
      <c r="C13" s="1" t="n">
        <v>45899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45899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45899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45899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45899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45899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45899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45899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45899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45899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45899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45899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45899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50413-2021</t>
        </is>
      </c>
      <c r="B26" s="1" t="n">
        <v>44459</v>
      </c>
      <c r="C26" s="1" t="n">
        <v>45899</v>
      </c>
      <c r="D26" t="inlineStr">
        <is>
          <t>VÄSTRA GÖTALANDS LÄN</t>
        </is>
      </c>
      <c r="E26" t="inlineStr">
        <is>
          <t>KUNGÄLV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45899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45899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45899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45899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45899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45899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30170-2022</t>
        </is>
      </c>
      <c r="B33" s="1" t="n">
        <v>44757</v>
      </c>
      <c r="C33" s="1" t="n">
        <v>45899</v>
      </c>
      <c r="D33" t="inlineStr">
        <is>
          <t>VÄSTRA GÖTALANDS LÄN</t>
        </is>
      </c>
      <c r="E33" t="inlineStr">
        <is>
          <t>KUNGÄLV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45899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45899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45899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45899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51724-2023</t>
        </is>
      </c>
      <c r="B38" s="1" t="n">
        <v>45222</v>
      </c>
      <c r="C38" s="1" t="n">
        <v>45899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45899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34366-2022</t>
        </is>
      </c>
      <c r="B40" s="1" t="n">
        <v>44792</v>
      </c>
      <c r="C40" s="1" t="n">
        <v>45899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5631-2024</t>
        </is>
      </c>
      <c r="B41" s="1" t="n">
        <v>45334.61013888889</v>
      </c>
      <c r="C41" s="1" t="n">
        <v>45899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45899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21579-2025</t>
        </is>
      </c>
      <c r="B43" s="1" t="n">
        <v>45782.91234953704</v>
      </c>
      <c r="C43" s="1" t="n">
        <v>45899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45899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45899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45899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45899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45899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10679-2025</t>
        </is>
      </c>
      <c r="B49" s="1" t="n">
        <v>45721.89462962963</v>
      </c>
      <c r="C49" s="1" t="n">
        <v>45899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8943-2025</t>
        </is>
      </c>
      <c r="B50" s="1" t="n">
        <v>45713.45105324074</v>
      </c>
      <c r="C50" s="1" t="n">
        <v>45899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11237-2025</t>
        </is>
      </c>
      <c r="B51" s="1" t="n">
        <v>45726.36668981481</v>
      </c>
      <c r="C51" s="1" t="n">
        <v>45899</v>
      </c>
      <c r="D51" t="inlineStr">
        <is>
          <t>VÄSTRA GÖTALANDS LÄN</t>
        </is>
      </c>
      <c r="E51" t="inlineStr">
        <is>
          <t>KUNGÄLV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15078-2025</t>
        </is>
      </c>
      <c r="B52" s="1" t="n">
        <v>45743.84284722222</v>
      </c>
      <c r="C52" s="1" t="n">
        <v>45899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10677-2025</t>
        </is>
      </c>
      <c r="B53" s="1" t="n">
        <v>45721.89055555555</v>
      </c>
      <c r="C53" s="1" t="n">
        <v>45899</v>
      </c>
      <c r="D53" t="inlineStr">
        <is>
          <t>VÄSTRA GÖTALANDS LÄN</t>
        </is>
      </c>
      <c r="E53" t="inlineStr">
        <is>
          <t>KUNGÄLV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74285-2021</t>
        </is>
      </c>
      <c r="B54" s="1" t="n">
        <v>44558</v>
      </c>
      <c r="C54" s="1" t="n">
        <v>45899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45899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53755-2020</t>
        </is>
      </c>
      <c r="B56" s="1" t="n">
        <v>44124</v>
      </c>
      <c r="C56" s="1" t="n">
        <v>45899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43520-2022</t>
        </is>
      </c>
      <c r="B57" s="1" t="n">
        <v>44837.37417824074</v>
      </c>
      <c r="C57" s="1" t="n">
        <v>45899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45899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45899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45899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45899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45899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61417-2022</t>
        </is>
      </c>
      <c r="B63" s="1" t="n">
        <v>44916.35082175926</v>
      </c>
      <c r="C63" s="1" t="n">
        <v>45899</v>
      </c>
      <c r="D63" t="inlineStr">
        <is>
          <t>VÄSTRA GÖTALANDS LÄN</t>
        </is>
      </c>
      <c r="E63" t="inlineStr">
        <is>
          <t>KUNGÄLV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32272-2023</t>
        </is>
      </c>
      <c r="B64" s="1" t="n">
        <v>45120.35368055556</v>
      </c>
      <c r="C64" s="1" t="n">
        <v>45899</v>
      </c>
      <c r="D64" t="inlineStr">
        <is>
          <t>VÄSTRA GÖTALANDS LÄN</t>
        </is>
      </c>
      <c r="E64" t="inlineStr">
        <is>
          <t>KUNGÄLV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32847-2023</t>
        </is>
      </c>
      <c r="B65" s="1" t="n">
        <v>45124.61965277778</v>
      </c>
      <c r="C65" s="1" t="n">
        <v>45899</v>
      </c>
      <c r="D65" t="inlineStr">
        <is>
          <t>VÄSTRA GÖTALANDS LÄN</t>
        </is>
      </c>
      <c r="E65" t="inlineStr">
        <is>
          <t>KUNGÄLV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19531-2023</t>
        </is>
      </c>
      <c r="B66" s="1" t="n">
        <v>45050.54896990741</v>
      </c>
      <c r="C66" s="1" t="n">
        <v>45899</v>
      </c>
      <c r="D66" t="inlineStr">
        <is>
          <t>VÄSTRA GÖTALANDS LÄN</t>
        </is>
      </c>
      <c r="E66" t="inlineStr">
        <is>
          <t>KUNGÄLV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4263-2024</t>
        </is>
      </c>
      <c r="B67" s="1" t="n">
        <v>45324.51049768519</v>
      </c>
      <c r="C67" s="1" t="n">
        <v>45899</v>
      </c>
      <c r="D67" t="inlineStr">
        <is>
          <t>VÄSTRA GÖTALANDS LÄN</t>
        </is>
      </c>
      <c r="E67" t="inlineStr">
        <is>
          <t>KUNGÄLV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6082-2025</t>
        </is>
      </c>
      <c r="B68" s="1" t="n">
        <v>45697</v>
      </c>
      <c r="C68" s="1" t="n">
        <v>45899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45899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45899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45899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5705-2025</t>
        </is>
      </c>
      <c r="B72" s="1" t="n">
        <v>45694</v>
      </c>
      <c r="C72" s="1" t="n">
        <v>45899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62979-2023</t>
        </is>
      </c>
      <c r="B73" s="1" t="n">
        <v>45271</v>
      </c>
      <c r="C73" s="1" t="n">
        <v>45899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25135-2025</t>
        </is>
      </c>
      <c r="B74" s="1" t="n">
        <v>45798</v>
      </c>
      <c r="C74" s="1" t="n">
        <v>45899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45899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32391-2025</t>
        </is>
      </c>
      <c r="B76" s="1" t="n">
        <v>45837.90662037037</v>
      </c>
      <c r="C76" s="1" t="n">
        <v>45899</v>
      </c>
      <c r="D76" t="inlineStr">
        <is>
          <t>VÄSTRA GÖTALANDS LÄN</t>
        </is>
      </c>
      <c r="E76" t="inlineStr">
        <is>
          <t>KUNGÄLV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45899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55830-2024</t>
        </is>
      </c>
      <c r="B78" s="1" t="n">
        <v>45623.48478009259</v>
      </c>
      <c r="C78" s="1" t="n">
        <v>45899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16538-2025</t>
        </is>
      </c>
      <c r="B79" s="1" t="n">
        <v>45751.66126157407</v>
      </c>
      <c r="C79" s="1" t="n">
        <v>45899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33493-2021</t>
        </is>
      </c>
      <c r="B80" s="1" t="n">
        <v>44377</v>
      </c>
      <c r="C80" s="1" t="n">
        <v>45899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29801-2022</t>
        </is>
      </c>
      <c r="B81" s="1" t="n">
        <v>44755.70518518519</v>
      </c>
      <c r="C81" s="1" t="n">
        <v>45899</v>
      </c>
      <c r="D81" t="inlineStr">
        <is>
          <t>VÄSTRA GÖTALANDS LÄN</t>
        </is>
      </c>
      <c r="E81" t="inlineStr">
        <is>
          <t>KUNGÄLV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45899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4262-2024</t>
        </is>
      </c>
      <c r="B83" s="1" t="n">
        <v>45324.50902777778</v>
      </c>
      <c r="C83" s="1" t="n">
        <v>45899</v>
      </c>
      <c r="D83" t="inlineStr">
        <is>
          <t>VÄSTRA GÖTALANDS LÄN</t>
        </is>
      </c>
      <c r="E83" t="inlineStr">
        <is>
          <t>KUNGÄLV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45899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45899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71835-2021</t>
        </is>
      </c>
      <c r="B86" s="1" t="n">
        <v>44543.62230324074</v>
      </c>
      <c r="C86" s="1" t="n">
        <v>45899</v>
      </c>
      <c r="D86" t="inlineStr">
        <is>
          <t>VÄSTRA GÖTALANDS LÄN</t>
        </is>
      </c>
      <c r="E86" t="inlineStr">
        <is>
          <t>KUNGÄLV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45899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661-2025</t>
        </is>
      </c>
      <c r="B88" s="1" t="n">
        <v>45664.68572916667</v>
      </c>
      <c r="C88" s="1" t="n">
        <v>45899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21883-2021</t>
        </is>
      </c>
      <c r="B89" s="1" t="n">
        <v>44322</v>
      </c>
      <c r="C89" s="1" t="n">
        <v>45899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40951-2025</t>
        </is>
      </c>
      <c r="B90" s="1" t="n">
        <v>45897.66342592592</v>
      </c>
      <c r="C90" s="1" t="n">
        <v>45899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33244-2021</t>
        </is>
      </c>
      <c r="B91" s="1" t="n">
        <v>44377</v>
      </c>
      <c r="C91" s="1" t="n">
        <v>45899</v>
      </c>
      <c r="D91" t="inlineStr">
        <is>
          <t>VÄSTRA GÖTALANDS LÄN</t>
        </is>
      </c>
      <c r="E91" t="inlineStr">
        <is>
          <t>KUNGÄLV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17921-2025</t>
        </is>
      </c>
      <c r="B92" s="1" t="n">
        <v>45758.90662037037</v>
      </c>
      <c r="C92" s="1" t="n">
        <v>45899</v>
      </c>
      <c r="D92" t="inlineStr">
        <is>
          <t>VÄSTRA GÖTALANDS LÄN</t>
        </is>
      </c>
      <c r="E92" t="inlineStr">
        <is>
          <t>KUNGÄLV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17922-2025</t>
        </is>
      </c>
      <c r="B93" s="1" t="n">
        <v>45758.90710648148</v>
      </c>
      <c r="C93" s="1" t="n">
        <v>45899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3026-2021</t>
        </is>
      </c>
      <c r="B94" s="1" t="n">
        <v>44216</v>
      </c>
      <c r="C94" s="1" t="n">
        <v>45899</v>
      </c>
      <c r="D94" t="inlineStr">
        <is>
          <t>VÄSTRA GÖTALANDS LÄN</t>
        </is>
      </c>
      <c r="E94" t="inlineStr">
        <is>
          <t>KUNGÄLV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56782-2022</t>
        </is>
      </c>
      <c r="B95" s="1" t="n">
        <v>44894.39475694444</v>
      </c>
      <c r="C95" s="1" t="n">
        <v>45899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24461-2023</t>
        </is>
      </c>
      <c r="B96" s="1" t="n">
        <v>45082</v>
      </c>
      <c r="C96" s="1" t="n">
        <v>45899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44928.53378472223</v>
      </c>
      <c r="C97" s="1" t="n">
        <v>45899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45899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6096-2025</t>
        </is>
      </c>
      <c r="B99" s="1" t="n">
        <v>45697</v>
      </c>
      <c r="C99" s="1" t="n">
        <v>45899</v>
      </c>
      <c r="D99" t="inlineStr">
        <is>
          <t>VÄSTRA GÖTALANDS LÄN</t>
        </is>
      </c>
      <c r="E99" t="inlineStr">
        <is>
          <t>KUNGÄLV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45899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45899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45899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45899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45899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45899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45899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45899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18852-2024</t>
        </is>
      </c>
      <c r="B108" s="1" t="n">
        <v>45426.69550925926</v>
      </c>
      <c r="C108" s="1" t="n">
        <v>45899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2025-08-30T08:30:37Z</dcterms:created>
  <dcterms:modified xmlns:dcterms="http://purl.org/dc/terms/" xmlns:xsi="http://www.w3.org/2001/XMLSchema-instance" xsi:type="dcterms:W3CDTF">2025-08-30T08:30:37Z</dcterms:modified>
</cp:coreProperties>
</file>