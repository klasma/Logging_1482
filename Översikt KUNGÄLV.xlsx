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46308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46308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46308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46308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46308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30872-2026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46212</v>
      </c>
      <c r="E11" s="1" t="n">
        <v>46308</v>
      </c>
      <c r="F11" t="inlineStr">
        <is>
          <t>VÄSTRA GÖTALANDS LÄN</t>
        </is>
      </c>
      <c r="G11" t="inlineStr">
        <is>
          <t>KUNGÄLV</t>
        </is>
      </c>
      <c r="I11" t="n">
        <v>2.4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Platt fjädermossa
Spillkråka</t>
        </is>
      </c>
      <c r="W11">
        <f>HYPERLINK("https://klasma.github.io/Logging_1482/artfynd/A 30872-2026 artfynd.xlsx", "A 30872-2026")</f>
        <v/>
      </c>
      <c r="X11">
        <f>HYPERLINK("https://klasma.github.io/Logging_1482/kartor/A 30872-2026 karta.png", "A 30872-2026")</f>
        <v/>
      </c>
      <c r="Y11">
        <f>HYPERLINK("https://klasma.github.io/Logging_1482/kartor_geotiff/A 30872-2026 georefererad karta.tif", "A 30872-2026")</f>
        <v/>
      </c>
      <c r="AA11">
        <f>HYPERLINK("https://klasma.github.io/Logging_1482/klagomål/A 30872-2026 FSC-klagomål.docx", "A 30872-2026")</f>
        <v/>
      </c>
      <c r="AB11">
        <f>HYPERLINK("https://klasma.github.io/Logging_1482/klagomålsmail/A 30872-2026 FSC-klagomål mail.docx", "A 30872-2026")</f>
        <v/>
      </c>
      <c r="AC11">
        <f>HYPERLINK("https://klasma.github.io/Logging_1482/tillsyn/A 30872-2026 tillsynsbegäran.docx", "A 30872-2026")</f>
        <v/>
      </c>
      <c r="AD11">
        <f>HYPERLINK("https://klasma.github.io/Logging_1482/tillsynsmail/A 30872-2026 tillsynsbegäran mail.docx", "A 30872-2026")</f>
        <v/>
      </c>
      <c r="AE11">
        <f>HYPERLINK("https://klasma.github.io/Logging_1482/fåglar/A 30872-2026 prioriterade fågelarter.docx", "A 30872-2026")</f>
        <v/>
      </c>
    </row>
    <row r="12" ht="15" customHeight="1">
      <c r="A12" t="inlineStr">
        <is>
          <t>A 58408-2025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46308</v>
      </c>
      <c r="F12" t="inlineStr">
        <is>
          <t>VÄSTRA GÖTALANDS LÄN</t>
        </is>
      </c>
      <c r="G12" t="inlineStr">
        <is>
          <t>KUNGÄLV</t>
        </is>
      </c>
      <c r="I12" t="n">
        <v>8.1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Älg
Spillkråka
Revlummer</t>
        </is>
      </c>
      <c r="W12">
        <f>HYPERLINK("https://klasma.github.io/Logging_1482/artfynd/A 58408-2025 artfynd.xlsx", "A 58408-2025")</f>
        <v/>
      </c>
      <c r="X12">
        <f>HYPERLINK("https://klasma.github.io/Logging_1482/kartor/A 58408-2025 karta.png", "A 58408-2025")</f>
        <v/>
      </c>
      <c r="Y12">
        <f>HYPERLINK("https://klasma.github.io/Logging_1482/kartor_geotiff/A 58408-2025 georefererad karta.tif", "A 58408-2025")</f>
        <v/>
      </c>
      <c r="AA12">
        <f>HYPERLINK("https://klasma.github.io/Logging_1482/klagomål/A 58408-2025 FSC-klagomål.docx", "A 58408-2025")</f>
        <v/>
      </c>
      <c r="AB12">
        <f>HYPERLINK("https://klasma.github.io/Logging_1482/klagomålsmail/A 58408-2025 FSC-klagomål mail.docx", "A 58408-2025")</f>
        <v/>
      </c>
      <c r="AC12">
        <f>HYPERLINK("https://klasma.github.io/Logging_1482/tillsyn/A 58408-2025 tillsynsbegäran.docx", "A 58408-2025")</f>
        <v/>
      </c>
      <c r="AD12">
        <f>HYPERLINK("https://klasma.github.io/Logging_1482/tillsynsmail/A 58408-2025 tillsynsbegäran mail.docx", "A 58408-2025")</f>
        <v/>
      </c>
      <c r="AE12">
        <f>HYPERLINK("https://klasma.github.io/Logging_1482/fåglar/A 58408-2025 prioriterade fågelarter.docx", "A 58408-2025")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46308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46308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46308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57116-2025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46308</v>
      </c>
      <c r="F18" t="inlineStr">
        <is>
          <t>VÄSTRA GÖTALANDS LÄN</t>
        </is>
      </c>
      <c r="G18" t="inlineStr">
        <is>
          <t>KUNGÄLV</t>
        </is>
      </c>
      <c r="I18" t="n">
        <v>3.5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Västlig hakmossa
Spillkråka</t>
        </is>
      </c>
      <c r="W18">
        <f>HYPERLINK("https://klasma.github.io/Logging_1482/artfynd/A 57116-2025 artfynd.xlsx", "A 57116-2025")</f>
        <v/>
      </c>
      <c r="X18">
        <f>HYPERLINK("https://klasma.github.io/Logging_1482/kartor/A 57116-2025 karta.png", "A 57116-2025")</f>
        <v/>
      </c>
      <c r="Y18">
        <f>HYPERLINK("https://klasma.github.io/Logging_1482/kartor_geotiff/A 57116-2025 georefererad karta.tif", "A 57116-2025")</f>
        <v/>
      </c>
      <c r="AA18">
        <f>HYPERLINK("https://klasma.github.io/Logging_1482/klagomål/A 57116-2025 FSC-klagomål.docx", "A 57116-2025")</f>
        <v/>
      </c>
      <c r="AB18">
        <f>HYPERLINK("https://klasma.github.io/Logging_1482/klagomålsmail/A 57116-2025 FSC-klagomål mail.docx", "A 57116-2025")</f>
        <v/>
      </c>
      <c r="AC18">
        <f>HYPERLINK("https://klasma.github.io/Logging_1482/tillsyn/A 57116-2025 tillsynsbegäran.docx", "A 57116-2025")</f>
        <v/>
      </c>
      <c r="AD18">
        <f>HYPERLINK("https://klasma.github.io/Logging_1482/tillsynsmail/A 57116-2025 tillsynsbegäran mail.docx", "A 57116-2025")</f>
        <v/>
      </c>
      <c r="AE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46308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46308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46308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46308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42407-2026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46307</v>
      </c>
      <c r="E23" s="1" t="n">
        <v>46308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Dunmossa</t>
        </is>
      </c>
      <c r="W23">
        <f>HYPERLINK("https://klasma.github.io/Logging_1482/artfynd/A 42407-2026 artfynd.xlsx", "A 42407-2026")</f>
        <v/>
      </c>
      <c r="X23">
        <f>HYPERLINK("https://klasma.github.io/Logging_1482/kartor/A 42407-2026 karta.png", "A 42407-2026")</f>
        <v/>
      </c>
      <c r="Y23">
        <f>HYPERLINK("https://klasma.github.io/Logging_1482/kartor_geotiff/A 42407-2026 georefererad karta.tif", "A 42407-2026")</f>
        <v/>
      </c>
      <c r="AA23">
        <f>HYPERLINK("https://klasma.github.io/Logging_1482/klagomål/A 42407-2026 FSC-klagomål.docx", "A 42407-2026")</f>
        <v/>
      </c>
      <c r="AB23">
        <f>HYPERLINK("https://klasma.github.io/Logging_1482/klagomålsmail/A 42407-2026 FSC-klagomål mail.docx", "A 42407-2026")</f>
        <v/>
      </c>
      <c r="AC23">
        <f>HYPERLINK("https://klasma.github.io/Logging_1482/tillsyn/A 42407-2026 tillsynsbegäran.docx", "A 42407-2026")</f>
        <v/>
      </c>
      <c r="AD23">
        <f>HYPERLINK("https://klasma.github.io/Logging_1482/tillsynsmail/A 42407-2026 tillsynsbegäran mail.docx", "A 42407-2026")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46308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49988-2023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46308</v>
      </c>
      <c r="F25" t="inlineStr">
        <is>
          <t>VÄSTRA GÖTALANDS LÄN</t>
        </is>
      </c>
      <c r="G25" t="inlineStr">
        <is>
          <t>KUNGÄLV</t>
        </is>
      </c>
      <c r="I25" t="n">
        <v>2.3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HYPERLINK("https://klasma.github.io/Logging_1482/artfynd/A 49988-2023 artfynd.xlsx", "A 49988-2023")</f>
        <v/>
      </c>
      <c r="X25">
        <f>HYPERLINK("https://klasma.github.io/Logging_1482/kartor/A 49988-2023 karta.png", "A 49988-2023")</f>
        <v/>
      </c>
      <c r="Y25">
        <f>HYPERLINK("https://klasma.github.io/Logging_1482/kartor_geotiff/A 49988-2023 georefererad karta.tif", "A 49988-2023")</f>
        <v/>
      </c>
      <c r="AA25">
        <f>HYPERLINK("https://klasma.github.io/Logging_1482/klagomål/A 49988-2023 FSC-klagomål.docx", "A 49988-2023")</f>
        <v/>
      </c>
      <c r="AB25">
        <f>HYPERLINK("https://klasma.github.io/Logging_1482/klagomålsmail/A 49988-2023 FSC-klagomål mail.docx", "A 49988-2023")</f>
        <v/>
      </c>
      <c r="AC25">
        <f>HYPERLINK("https://klasma.github.io/Logging_1482/tillsyn/A 49988-2023 tillsynsbegäran.docx", "A 49988-2023")</f>
        <v/>
      </c>
      <c r="AD25">
        <f>HYPERLINK("https://klasma.github.io/Logging_1482/tillsynsmail/A 49988-2023 tillsynsbegäran mail.docx", "A 49988-2023")</f>
        <v/>
      </c>
    </row>
    <row r="26" ht="15" customHeight="1">
      <c r="A26" t="inlineStr">
        <is>
          <t>A 19132-2022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46308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19133-2022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46308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46308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46308</v>
      </c>
      <c r="F29" t="inlineStr">
        <is>
          <t>VÄSTRA GÖTALANDS LÄN</t>
        </is>
      </c>
      <c r="G29" t="inlineStr">
        <is>
          <t>KUNGÄLV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46308</v>
      </c>
      <c r="F30" t="inlineStr">
        <is>
          <t>VÄSTRA GÖTALANDS LÄN</t>
        </is>
      </c>
      <c r="G30" t="inlineStr">
        <is>
          <t>KUNGÄLV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46308</v>
      </c>
      <c r="F31" t="inlineStr">
        <is>
          <t>VÄSTRA GÖTALANDS LÄN</t>
        </is>
      </c>
      <c r="G31" t="inlineStr">
        <is>
          <t>KUNGÄLV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17455-2025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46308</v>
      </c>
      <c r="F32" t="inlineStr">
        <is>
          <t>VÄSTRA GÖTALANDS LÄN</t>
        </is>
      </c>
      <c r="G32" t="inlineStr">
        <is>
          <t>KUNGÄLV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46308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45897</v>
      </c>
      <c r="E34" s="1" t="n">
        <v>46308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21389-2023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45063</v>
      </c>
      <c r="E35" s="1" t="n">
        <v>46308</v>
      </c>
      <c r="F35" t="inlineStr">
        <is>
          <t>VÄSTRA GÖTALANDS LÄN</t>
        </is>
      </c>
      <c r="G35" t="inlineStr">
        <is>
          <t>KUNGÄLV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46308</v>
      </c>
      <c r="F36" t="inlineStr">
        <is>
          <t>VÄSTRA GÖTALANDS LÄN</t>
        </is>
      </c>
      <c r="G36" t="inlineStr">
        <is>
          <t>KUNGÄLV</t>
        </is>
      </c>
      <c r="I36" t="n">
        <v>14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45124-2025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45919</v>
      </c>
      <c r="E37" s="1" t="n">
        <v>46308</v>
      </c>
      <c r="F37" t="inlineStr">
        <is>
          <t>VÄSTRA GÖTALANDS LÄN</t>
        </is>
      </c>
      <c r="G37" t="inlineStr">
        <is>
          <t>KUNGÄLV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45058</v>
      </c>
      <c r="E38" s="1" t="n">
        <v>46308</v>
      </c>
      <c r="F38" t="inlineStr">
        <is>
          <t>VÄSTRA GÖTALANDS LÄN</t>
        </is>
      </c>
      <c r="G38" t="inlineStr">
        <is>
          <t>KUNGÄLV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46308</v>
      </c>
      <c r="F39" t="inlineStr">
        <is>
          <t>VÄSTRA GÖTALANDS LÄN</t>
        </is>
      </c>
      <c r="G39" t="inlineStr">
        <is>
          <t>KUNGÄLV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63319-2021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46308</v>
      </c>
      <c r="F40" t="inlineStr">
        <is>
          <t>VÄSTRA GÖTALANDS LÄN</t>
        </is>
      </c>
      <c r="G40" t="inlineStr">
        <is>
          <t>KUNGÄLV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45957</v>
      </c>
      <c r="E41" s="1" t="n">
        <v>46308</v>
      </c>
      <c r="F41" t="inlineStr">
        <is>
          <t>VÄSTRA GÖTALANDS LÄN</t>
        </is>
      </c>
      <c r="G41" t="inlineStr">
        <is>
          <t>KUNGÄLV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29952-2026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46308</v>
      </c>
      <c r="F42" t="inlineStr">
        <is>
          <t>VÄSTRA GÖTALANDS LÄN</t>
        </is>
      </c>
      <c r="G42" t="inlineStr">
        <is>
          <t>KUNGÄLV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46308</v>
      </c>
      <c r="F43" t="inlineStr">
        <is>
          <t>VÄSTRA GÖTALANDS LÄN</t>
        </is>
      </c>
      <c r="G43" t="inlineStr">
        <is>
          <t>KUNGÄLV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46308</v>
      </c>
      <c r="F44" t="inlineStr">
        <is>
          <t>VÄSTRA GÖTALANDS LÄN</t>
        </is>
      </c>
      <c r="G44" t="inlineStr">
        <is>
          <t>KUNGÄLV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46308</v>
      </c>
      <c r="F45" t="inlineStr">
        <is>
          <t>VÄSTRA GÖTALANDS LÄN</t>
        </is>
      </c>
      <c r="G45" t="inlineStr">
        <is>
          <t>KUNGÄLV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46211</v>
      </c>
      <c r="E46" s="1" t="n">
        <v>46308</v>
      </c>
      <c r="F46" t="inlineStr">
        <is>
          <t>VÄSTRA GÖTALANDS LÄN</t>
        </is>
      </c>
      <c r="G46" t="inlineStr">
        <is>
          <t>KUNGÄLV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46308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74285-2021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44558</v>
      </c>
      <c r="E48" s="1" t="n">
        <v>46308</v>
      </c>
      <c r="F48" t="inlineStr">
        <is>
          <t>VÄSTRA GÖTALANDS LÄN</t>
        </is>
      </c>
      <c r="G48" t="inlineStr">
        <is>
          <t>KUNGÄLV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61417-2022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44916</v>
      </c>
      <c r="E49" s="1" t="n">
        <v>46308</v>
      </c>
      <c r="F49" t="inlineStr">
        <is>
          <t>VÄSTRA GÖTALANDS LÄN</t>
        </is>
      </c>
      <c r="G49" t="inlineStr">
        <is>
          <t>KUNGÄLV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46308</v>
      </c>
      <c r="F50" t="inlineStr">
        <is>
          <t>VÄSTRA GÖTALANDS LÄN</t>
        </is>
      </c>
      <c r="G50" t="inlineStr">
        <is>
          <t>KUNGÄLV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45124</v>
      </c>
      <c r="E51" s="1" t="n">
        <v>46308</v>
      </c>
      <c r="F51" t="inlineStr">
        <is>
          <t>VÄSTRA GÖTALANDS LÄN</t>
        </is>
      </c>
      <c r="G51" t="inlineStr">
        <is>
          <t>KUNGÄLV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45482</v>
      </c>
      <c r="E52" s="1" t="n">
        <v>46308</v>
      </c>
      <c r="F52" t="inlineStr">
        <is>
          <t>VÄSTRA GÖTALANDS LÄN</t>
        </is>
      </c>
      <c r="G52" t="inlineStr">
        <is>
          <t>KUNGÄLV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46281</v>
      </c>
      <c r="E53" s="1" t="n">
        <v>46308</v>
      </c>
      <c r="F53" t="inlineStr">
        <is>
          <t>VÄSTRA GÖTALANDS LÄN</t>
        </is>
      </c>
      <c r="G53" t="inlineStr">
        <is>
          <t>KUNGÄLV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44624</v>
      </c>
      <c r="E54" s="1" t="n">
        <v>46308</v>
      </c>
      <c r="F54" t="inlineStr">
        <is>
          <t>VÄSTRA GÖTALANDS LÄN</t>
        </is>
      </c>
      <c r="G54" t="inlineStr">
        <is>
          <t>KUNGÄLV</t>
        </is>
      </c>
      <c r="I54" t="n">
        <v>13.3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46308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46048</v>
      </c>
      <c r="E56" s="1" t="n">
        <v>46308</v>
      </c>
      <c r="F56" t="inlineStr">
        <is>
          <t>VÄSTRA GÖTALANDS LÄN</t>
        </is>
      </c>
      <c r="G56" t="inlineStr">
        <is>
          <t>KUNGÄLV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34244-2025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45844</v>
      </c>
      <c r="E57" s="1" t="n">
        <v>46308</v>
      </c>
      <c r="F57" t="inlineStr">
        <is>
          <t>VÄSTRA GÖTALANDS LÄN</t>
        </is>
      </c>
      <c r="G57" t="inlineStr">
        <is>
          <t>KUNGÄLV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46308</v>
      </c>
      <c r="F58" t="inlineStr">
        <is>
          <t>VÄSTRA GÖTALANDS LÄN</t>
        </is>
      </c>
      <c r="G58" t="inlineStr">
        <is>
          <t>KUNGÄLV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6946-2026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46057</v>
      </c>
      <c r="E59" s="1" t="n">
        <v>46308</v>
      </c>
      <c r="F59" t="inlineStr">
        <is>
          <t>VÄSTRA GÖTALANDS LÄN</t>
        </is>
      </c>
      <c r="G59" t="inlineStr">
        <is>
          <t>KUNGÄLV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46308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45552</v>
      </c>
      <c r="E61" s="1" t="n">
        <v>46308</v>
      </c>
      <c r="F61" t="inlineStr">
        <is>
          <t>VÄSTRA GÖTALANDS LÄN</t>
        </is>
      </c>
      <c r="G61" t="inlineStr">
        <is>
          <t>KUNGÄLV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46308</v>
      </c>
      <c r="F62" t="inlineStr">
        <is>
          <t>VÄSTRA GÖTALANDS LÄN</t>
        </is>
      </c>
      <c r="G62" t="inlineStr">
        <is>
          <t>KUNGÄLV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45877</v>
      </c>
      <c r="E63" s="1" t="n">
        <v>46308</v>
      </c>
      <c r="F63" t="inlineStr">
        <is>
          <t>VÄSTRA GÖTALANDS LÄN</t>
        </is>
      </c>
      <c r="G63" t="inlineStr">
        <is>
          <t>KUNGÄLV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46254</v>
      </c>
      <c r="E64" s="1" t="n">
        <v>46308</v>
      </c>
      <c r="F64" t="inlineStr">
        <is>
          <t>VÄSTRA GÖTALANDS LÄN</t>
        </is>
      </c>
      <c r="G64" t="inlineStr">
        <is>
          <t>KUNGÄLV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46254</v>
      </c>
      <c r="E65" s="1" t="n">
        <v>46308</v>
      </c>
      <c r="F65" t="inlineStr">
        <is>
          <t>VÄSTRA GÖTALANDS LÄN</t>
        </is>
      </c>
      <c r="G65" t="inlineStr">
        <is>
          <t>KUNGÄLV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46308</v>
      </c>
      <c r="F66" t="inlineStr">
        <is>
          <t>VÄSTRA GÖTALANDS LÄN</t>
        </is>
      </c>
      <c r="G66" t="inlineStr">
        <is>
          <t>KUNGÄLV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46254</v>
      </c>
      <c r="E67" s="1" t="n">
        <v>46308</v>
      </c>
      <c r="F67" t="inlineStr">
        <is>
          <t>VÄSTRA GÖTALANDS LÄN</t>
        </is>
      </c>
      <c r="G67" t="inlineStr">
        <is>
          <t>KUNGÄLV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46254</v>
      </c>
      <c r="E68" s="1" t="n">
        <v>46308</v>
      </c>
      <c r="F68" t="inlineStr">
        <is>
          <t>VÄSTRA GÖTALANDS LÄN</t>
        </is>
      </c>
      <c r="G68" t="inlineStr">
        <is>
          <t>KUNGÄLV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46302</v>
      </c>
      <c r="E69" s="1" t="n">
        <v>46308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46308</v>
      </c>
      <c r="F70" t="inlineStr">
        <is>
          <t>VÄSTRA GÖTALANDS LÄN</t>
        </is>
      </c>
      <c r="G70" t="inlineStr">
        <is>
          <t>KUNGÄLV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46308</v>
      </c>
      <c r="F71" t="inlineStr">
        <is>
          <t>VÄSTRA GÖTALANDS LÄN</t>
        </is>
      </c>
      <c r="G71" t="inlineStr">
        <is>
          <t>KUNGÄLV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45694</v>
      </c>
      <c r="E72" s="1" t="n">
        <v>46308</v>
      </c>
      <c r="F72" t="inlineStr">
        <is>
          <t>VÄSTRA GÖTALANDS LÄN</t>
        </is>
      </c>
      <c r="G72" t="inlineStr">
        <is>
          <t>KUNGÄLV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46308</v>
      </c>
      <c r="F73" t="inlineStr">
        <is>
          <t>VÄSTRA GÖTALANDS LÄN</t>
        </is>
      </c>
      <c r="G73" t="inlineStr">
        <is>
          <t>KUNGÄLV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45347</v>
      </c>
      <c r="E74" s="1" t="n">
        <v>46308</v>
      </c>
      <c r="F74" t="inlineStr">
        <is>
          <t>VÄSTRA GÖTALANDS LÄN</t>
        </is>
      </c>
      <c r="G74" t="inlineStr">
        <is>
          <t>KUNGÄLV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44975</v>
      </c>
      <c r="E75" s="1" t="n">
        <v>46308</v>
      </c>
      <c r="F75" t="inlineStr">
        <is>
          <t>VÄSTRA GÖTALANDS LÄN</t>
        </is>
      </c>
      <c r="G75" t="inlineStr">
        <is>
          <t>KUNGÄLV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46308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45837</v>
      </c>
      <c r="E77" s="1" t="n">
        <v>46308</v>
      </c>
      <c r="F77" t="inlineStr">
        <is>
          <t>VÄSTRA GÖTALANDS LÄN</t>
        </is>
      </c>
      <c r="G77" t="inlineStr">
        <is>
          <t>KUNGÄLV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46163</v>
      </c>
      <c r="E78" s="1" t="n">
        <v>46308</v>
      </c>
      <c r="F78" t="inlineStr">
        <is>
          <t>VÄSTRA GÖTALANDS LÄN</t>
        </is>
      </c>
      <c r="G78" t="inlineStr">
        <is>
          <t>KUNGÄLV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46308</v>
      </c>
      <c r="F79" t="inlineStr">
        <is>
          <t>VÄSTRA GÖTALANDS LÄN</t>
        </is>
      </c>
      <c r="G79" t="inlineStr">
        <is>
          <t>KUNGÄLV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46308</v>
      </c>
      <c r="F80" t="inlineStr">
        <is>
          <t>VÄSTRA GÖTALANDS LÄN</t>
        </is>
      </c>
      <c r="G80" t="inlineStr">
        <is>
          <t>KUNGÄLV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46308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45308</v>
      </c>
      <c r="E82" s="1" t="n">
        <v>46308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46308</v>
      </c>
      <c r="F83" t="inlineStr">
        <is>
          <t>VÄSTRA GÖTALANDS LÄN</t>
        </is>
      </c>
      <c r="G83" t="inlineStr">
        <is>
          <t>KUNGÄLV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10810-2023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44989</v>
      </c>
      <c r="E84" s="1" t="n">
        <v>46308</v>
      </c>
      <c r="F84" t="inlineStr">
        <is>
          <t>VÄSTRA GÖTALANDS LÄN</t>
        </is>
      </c>
      <c r="G84" t="inlineStr">
        <is>
          <t>KUNGÄLV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46308</v>
      </c>
      <c r="F85" t="inlineStr">
        <is>
          <t>VÄSTRA GÖTALANDS LÄN</t>
        </is>
      </c>
      <c r="G85" t="inlineStr">
        <is>
          <t>KUNGÄLV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62128-2021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46308</v>
      </c>
      <c r="F86" t="inlineStr">
        <is>
          <t>VÄSTRA GÖTALANDS LÄN</t>
        </is>
      </c>
      <c r="G86" t="inlineStr">
        <is>
          <t>KUNGÄLV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62979-2023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45271</v>
      </c>
      <c r="E87" s="1" t="n">
        <v>46308</v>
      </c>
      <c r="F87" t="inlineStr">
        <is>
          <t>VÄSTRA GÖTALANDS LÄN</t>
        </is>
      </c>
      <c r="G87" t="inlineStr">
        <is>
          <t>KUNGÄLV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46308</v>
      </c>
      <c r="F88" t="inlineStr">
        <is>
          <t>VÄSTRA GÖTALANDS LÄN</t>
        </is>
      </c>
      <c r="G88" t="inlineStr">
        <is>
          <t>KUNGÄLV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46308</v>
      </c>
      <c r="F89" t="inlineStr">
        <is>
          <t>VÄSTRA GÖTALANDS LÄN</t>
        </is>
      </c>
      <c r="G89" t="inlineStr">
        <is>
          <t>KUNGÄLV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44755</v>
      </c>
      <c r="E90" s="1" t="n">
        <v>46308</v>
      </c>
      <c r="F90" t="inlineStr">
        <is>
          <t>VÄSTRA GÖTALANDS LÄN</t>
        </is>
      </c>
      <c r="G90" t="inlineStr">
        <is>
          <t>KUNGÄLV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46308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46308</v>
      </c>
      <c r="F92" t="inlineStr">
        <is>
          <t>VÄSTRA GÖTALANDS LÄN</t>
        </is>
      </c>
      <c r="G92" t="inlineStr">
        <is>
          <t>KUNGÄLV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46308</v>
      </c>
      <c r="F93" t="inlineStr">
        <is>
          <t>VÄSTRA GÖTALANDS LÄN</t>
        </is>
      </c>
      <c r="G93" t="inlineStr">
        <is>
          <t>KUNGÄLV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46308</v>
      </c>
      <c r="F94" t="inlineStr">
        <is>
          <t>VÄSTRA GÖTALANDS LÄN</t>
        </is>
      </c>
      <c r="G94" t="inlineStr">
        <is>
          <t>KUNGÄLV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44928</v>
      </c>
      <c r="E95" s="1" t="n">
        <v>46308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46308</v>
      </c>
      <c r="F96" t="inlineStr">
        <is>
          <t>VÄSTRA GÖTALANDS LÄN</t>
        </is>
      </c>
      <c r="G96" t="inlineStr">
        <is>
          <t>KUNGÄLV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44543</v>
      </c>
      <c r="E97" s="1" t="n">
        <v>46308</v>
      </c>
      <c r="F97" t="inlineStr">
        <is>
          <t>VÄSTRA GÖTALANDS LÄN</t>
        </is>
      </c>
      <c r="G97" t="inlineStr">
        <is>
          <t>KUNGÄLV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46308</v>
      </c>
      <c r="F98" t="inlineStr">
        <is>
          <t>VÄSTRA GÖTALANDS LÄN</t>
        </is>
      </c>
      <c r="G98" t="inlineStr">
        <is>
          <t>KUNGÄLV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46308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45082</v>
      </c>
      <c r="E100" s="1" t="n">
        <v>46308</v>
      </c>
      <c r="F100" t="inlineStr">
        <is>
          <t>VÄSTRA GÖTALANDS LÄN</t>
        </is>
      </c>
      <c r="G100" t="inlineStr">
        <is>
          <t>KUNGÄLV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45391</v>
      </c>
      <c r="E101" s="1" t="n">
        <v>46308</v>
      </c>
      <c r="F101" t="inlineStr">
        <is>
          <t>VÄSTRA GÖTALANDS LÄN</t>
        </is>
      </c>
      <c r="G101" t="inlineStr">
        <is>
          <t>KUNGÄLV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46308</v>
      </c>
      <c r="F102" t="inlineStr">
        <is>
          <t>VÄSTRA GÖTALANDS LÄN</t>
        </is>
      </c>
      <c r="G102" t="inlineStr">
        <is>
          <t>KUNGÄLV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46308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2026-10-13T02:03:35Z</dcterms:created>
  <dcterms:modified xmlns:dcterms="http://purl.org/dc/terms/" xmlns:xsi="http://www.w3.org/2001/XMLSchema-instance" xsi:type="dcterms:W3CDTF">2026-10-13T02:03:35Z</dcterms:modified>
</cp:coreProperties>
</file>