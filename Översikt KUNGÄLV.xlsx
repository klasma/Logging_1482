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11</v>
      </c>
      <c r="T3" t="n">
        <v>17</v>
      </c>
      <c r="U3" t="n">
        <v>14</v>
      </c>
      <c r="V3" s="2" t="inlineStr">
        <is>
          <t>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46233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46233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46233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46233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46233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46233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Kambräken
Västlig hakmossa
Spillkråka</t>
        </is>
      </c>
      <c r="W11">
        <f>HYPERLINK("https://klasma.github.io/Logging_1482/artfynd/A 53008-2025 artfynd.xlsx", "A 53008-2025")</f>
        <v/>
      </c>
      <c r="X11">
        <f>HYPERLINK("https://klasma.github.io/Logging_1482/kartor/A 53008-2025 karta.png", "A 53008-2025")</f>
        <v/>
      </c>
      <c r="Y11">
        <f>HYPERLINK("https://klasma.github.io/Logging_1482/kartor_geotiff/A 53008-2025 georefererad karta.tif", "A 53008-2025")</f>
        <v/>
      </c>
      <c r="AA11">
        <f>HYPERLINK("https://klasma.github.io/Logging_1482/klagomål/A 53008-2025 FSC-klagomål.docx", "A 53008-2025")</f>
        <v/>
      </c>
      <c r="AB11">
        <f>HYPERLINK("https://klasma.github.io/Logging_1482/klagomålsmail/A 53008-2025 FSC-klagomål mail.docx", "A 53008-2025")</f>
        <v/>
      </c>
      <c r="AC11">
        <f>HYPERLINK("https://klasma.github.io/Logging_1482/tillsyn/A 53008-2025 tillsynsbegäran.docx", "A 53008-2025")</f>
        <v/>
      </c>
      <c r="AD11">
        <f>HYPERLINK("https://klasma.github.io/Logging_1482/tillsynsmail/A 53008-2025 tillsynsbegäran mail.docx", "A 53008-2025")</f>
        <v/>
      </c>
      <c r="AE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46233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46233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Kambräken
Revlummer</t>
        </is>
      </c>
      <c r="W13">
        <f>HYPERLINK("https://klasma.github.io/Logging_1482/artfynd/A 56394-2025 artfynd.xlsx", "A 56394-2025")</f>
        <v/>
      </c>
      <c r="X13">
        <f>HYPERLINK("https://klasma.github.io/Logging_1482/kartor/A 56394-2025 karta.png", "A 56394-2025")</f>
        <v/>
      </c>
      <c r="Y13">
        <f>HYPERLINK("https://klasma.github.io/Logging_1482/kartor_geotiff/A 56394-2025 georefererad karta.tif", "A 56394-2025")</f>
        <v/>
      </c>
      <c r="AA13">
        <f>HYPERLINK("https://klasma.github.io/Logging_1482/klagomål/A 56394-2025 FSC-klagomål.docx", "A 56394-2025")</f>
        <v/>
      </c>
      <c r="AB13">
        <f>HYPERLINK("https://klasma.github.io/Logging_1482/klagomålsmail/A 56394-2025 FSC-klagomål mail.docx", "A 56394-2025")</f>
        <v/>
      </c>
      <c r="AC13">
        <f>HYPERLINK("https://klasma.github.io/Logging_1482/tillsyn/A 56394-2025 tillsynsbegäran.docx", "A 56394-2025")</f>
        <v/>
      </c>
      <c r="AD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46233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46233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46233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46233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46233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HYPERLINK("https://klasma.github.io/Logging_1482/artfynd/A 49988-2023 artfynd.xlsx", "A 49988-2023")</f>
        <v/>
      </c>
      <c r="X18">
        <f>HYPERLINK("https://klasma.github.io/Logging_1482/kartor/A 49988-2023 karta.png", "A 49988-2023")</f>
        <v/>
      </c>
      <c r="Y18">
        <f>HYPERLINK("https://klasma.github.io/Logging_1482/kartor_geotiff/A 49988-2023 georefererad karta.tif", "A 49988-2023")</f>
        <v/>
      </c>
      <c r="AA18">
        <f>HYPERLINK("https://klasma.github.io/Logging_1482/klagomål/A 49988-2023 FSC-klagomål.docx", "A 49988-2023")</f>
        <v/>
      </c>
      <c r="AB18">
        <f>HYPERLINK("https://klasma.github.io/Logging_1482/klagomålsmail/A 49988-2023 FSC-klagomål mail.docx", "A 49988-2023")</f>
        <v/>
      </c>
      <c r="AC18">
        <f>HYPERLINK("https://klasma.github.io/Logging_1482/tillsyn/A 49988-2023 tillsynsbegäran.docx", "A 49988-2023")</f>
        <v/>
      </c>
      <c r="AD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46233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HYPERLINK("https://klasma.github.io/Logging_1482/artfynd/A 6082-2025 artfynd.xlsx", "A 6082-2025")</f>
        <v/>
      </c>
      <c r="X19">
        <f>HYPERLINK("https://klasma.github.io/Logging_1482/kartor/A 6082-2025 karta.png", "A 6082-2025")</f>
        <v/>
      </c>
      <c r="Y19">
        <f>HYPERLINK("https://klasma.github.io/Logging_1482/kartor_geotiff/A 6082-2025 georefererad karta.tif", "A 6082-2025")</f>
        <v/>
      </c>
      <c r="AA19">
        <f>HYPERLINK("https://klasma.github.io/Logging_1482/klagomål/A 6082-2025 FSC-klagomål.docx", "A 6082-2025")</f>
        <v/>
      </c>
      <c r="AB19">
        <f>HYPERLINK("https://klasma.github.io/Logging_1482/klagomålsmail/A 6082-2025 FSC-klagomål mail.docx", "A 6082-2025")</f>
        <v/>
      </c>
      <c r="AC19">
        <f>HYPERLINK("https://klasma.github.io/Logging_1482/tillsyn/A 6082-2025 tillsynsbegäran.docx", "A 6082-2025")</f>
        <v/>
      </c>
      <c r="AD19">
        <f>HYPERLINK("https://klasma.github.io/Logging_1482/tillsynsmail/A 6082-2025 tillsynsbegäran mail.docx", "A 6082-2025")</f>
        <v/>
      </c>
      <c r="AE19">
        <f>HYPERLINK("https://klasma.github.io/Logging_1482/fåglar/A 6082-2025 prioriterade fågelarter.docx", "A 6082-2025")</f>
        <v/>
      </c>
    </row>
    <row r="20" ht="15" customHeight="1">
      <c r="A20" t="inlineStr">
        <is>
          <t>A 30860-2026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46233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Grönsångare</t>
        </is>
      </c>
      <c r="W20">
        <f>HYPERLINK("https://klasma.github.io/Logging_1482/artfynd/A 30860-2026 artfynd.xlsx", "A 30860-2026")</f>
        <v/>
      </c>
      <c r="X20">
        <f>HYPERLINK("https://klasma.github.io/Logging_1482/kartor/A 30860-2026 karta.png", "A 30860-2026")</f>
        <v/>
      </c>
      <c r="Y20">
        <f>HYPERLINK("https://klasma.github.io/Logging_1482/kartor_geotiff/A 30860-2026 georefererad karta.tif", "A 30860-2026")</f>
        <v/>
      </c>
      <c r="AA20">
        <f>HYPERLINK("https://klasma.github.io/Logging_1482/klagomål/A 30860-2026 FSC-klagomål.docx", "A 30860-2026")</f>
        <v/>
      </c>
      <c r="AB20">
        <f>HYPERLINK("https://klasma.github.io/Logging_1482/klagomålsmail/A 30860-2026 FSC-klagomål mail.docx", "A 30860-2026")</f>
        <v/>
      </c>
      <c r="AC20">
        <f>HYPERLINK("https://klasma.github.io/Logging_1482/tillsyn/A 30860-2026 tillsynsbegäran.docx", "A 30860-2026")</f>
        <v/>
      </c>
      <c r="AD20">
        <f>HYPERLINK("https://klasma.github.io/Logging_1482/tillsynsmail/A 30860-2026 tillsynsbegäran mail.docx", "A 30860-2026")</f>
        <v/>
      </c>
      <c r="AE20">
        <f>HYPERLINK("https://klasma.github.io/Logging_1482/fåglar/A 30860-2026 prioriterade fågelarter.docx", "A 30860-2026")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46233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46233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46233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46233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46233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46233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46233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46233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46233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46233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46233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46233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46233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46233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46233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46233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45391</v>
      </c>
      <c r="E38" s="1" t="n">
        <v>46233</v>
      </c>
      <c r="F38" t="inlineStr">
        <is>
          <t>VÄSTRA GÖTALANDS LÄN</t>
        </is>
      </c>
      <c r="G38" t="inlineStr">
        <is>
          <t>KUNGÄLV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45308</v>
      </c>
      <c r="E39" s="1" t="n">
        <v>46233</v>
      </c>
      <c r="F39" t="inlineStr">
        <is>
          <t>VÄSTRA GÖTALANDS LÄN</t>
        </is>
      </c>
      <c r="G39" t="inlineStr">
        <is>
          <t>KUNGÄLV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46233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46233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46233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46233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44916</v>
      </c>
      <c r="E44" s="1" t="n">
        <v>46233</v>
      </c>
      <c r="F44" t="inlineStr">
        <is>
          <t>VÄSTRA GÖTALANDS LÄN</t>
        </is>
      </c>
      <c r="G44" t="inlineStr">
        <is>
          <t>KUNGÄLV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46233</v>
      </c>
      <c r="F45" t="inlineStr">
        <is>
          <t>VÄSTRA GÖTALANDS LÄN</t>
        </is>
      </c>
      <c r="G45" t="inlineStr">
        <is>
          <t>KUNGÄLV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46233</v>
      </c>
      <c r="F46" t="inlineStr">
        <is>
          <t>VÄSTRA GÖTALANDS LÄN</t>
        </is>
      </c>
      <c r="G46" t="inlineStr">
        <is>
          <t>KUNGÄLV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46233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45482</v>
      </c>
      <c r="E48" s="1" t="n">
        <v>46233</v>
      </c>
      <c r="F48" t="inlineStr">
        <is>
          <t>VÄSTRA GÖTALANDS LÄN</t>
        </is>
      </c>
      <c r="G48" t="inlineStr">
        <is>
          <t>KUNGÄLV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46048</v>
      </c>
      <c r="E49" s="1" t="n">
        <v>46233</v>
      </c>
      <c r="F49" t="inlineStr">
        <is>
          <t>VÄSTRA GÖTALANDS LÄN</t>
        </is>
      </c>
      <c r="G49" t="inlineStr">
        <is>
          <t>KUNGÄLV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40951-2025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46233</v>
      </c>
      <c r="F50" t="inlineStr">
        <is>
          <t>VÄSTRA GÖTALANDS LÄN</t>
        </is>
      </c>
      <c r="G50" t="inlineStr">
        <is>
          <t>KUNGÄLV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44975</v>
      </c>
      <c r="E51" s="1" t="n">
        <v>46233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46233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46233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46233</v>
      </c>
      <c r="F54" t="inlineStr">
        <is>
          <t>VÄSTRA GÖTALANDS LÄN</t>
        </is>
      </c>
      <c r="G54" t="inlineStr">
        <is>
          <t>KUNGÄLV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46233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46233</v>
      </c>
      <c r="F56" t="inlineStr">
        <is>
          <t>VÄSTRA GÖTALANDS LÄN</t>
        </is>
      </c>
      <c r="G56" t="inlineStr">
        <is>
          <t>KUNGÄLV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6946-2026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46057</v>
      </c>
      <c r="E57" s="1" t="n">
        <v>46233</v>
      </c>
      <c r="F57" t="inlineStr">
        <is>
          <t>VÄSTRA GÖTALANDS LÄN</t>
        </is>
      </c>
      <c r="G57" t="inlineStr">
        <is>
          <t>KUNGÄLV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46233</v>
      </c>
      <c r="F58" t="inlineStr">
        <is>
          <t>VÄSTRA GÖTALANDS LÄN</t>
        </is>
      </c>
      <c r="G58" t="inlineStr">
        <is>
          <t>KUNGÄLV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46233</v>
      </c>
      <c r="F59" t="inlineStr">
        <is>
          <t>VÄSTRA GÖTALANDS LÄN</t>
        </is>
      </c>
      <c r="G59" t="inlineStr">
        <is>
          <t>KUNGÄLV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46233</v>
      </c>
      <c r="F60" t="inlineStr">
        <is>
          <t>VÄSTRA GÖTALANDS LÄN</t>
        </is>
      </c>
      <c r="G60" t="inlineStr">
        <is>
          <t>KUNGÄLV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46233</v>
      </c>
      <c r="F61" t="inlineStr">
        <is>
          <t>VÄSTRA GÖTALANDS LÄN</t>
        </is>
      </c>
      <c r="G61" t="inlineStr">
        <is>
          <t>KUNGÄLV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13990-2026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46233</v>
      </c>
      <c r="F62" t="inlineStr">
        <is>
          <t>VÄSTRA GÖTALANDS LÄN</t>
        </is>
      </c>
      <c r="G62" t="inlineStr">
        <is>
          <t>KUNGÄLV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46233</v>
      </c>
      <c r="F63" t="inlineStr">
        <is>
          <t>VÄSTRA GÖTALANDS LÄN</t>
        </is>
      </c>
      <c r="G63" t="inlineStr">
        <is>
          <t>KUNGÄLV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44928</v>
      </c>
      <c r="E64" s="1" t="n">
        <v>46233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46233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46233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46233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47569-2025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45931</v>
      </c>
      <c r="E68" s="1" t="n">
        <v>46233</v>
      </c>
      <c r="F68" t="inlineStr">
        <is>
          <t>VÄSTRA GÖTALANDS LÄN</t>
        </is>
      </c>
      <c r="G68" t="inlineStr">
        <is>
          <t>KUNGÄLV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46233</v>
      </c>
      <c r="F69" t="inlineStr">
        <is>
          <t>VÄSTRA GÖTALANDS LÄN</t>
        </is>
      </c>
      <c r="G69" t="inlineStr">
        <is>
          <t>KUNGÄLV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46233</v>
      </c>
      <c r="F70" t="inlineStr">
        <is>
          <t>VÄSTRA GÖTALANDS LÄN</t>
        </is>
      </c>
      <c r="G70" t="inlineStr">
        <is>
          <t>KUNGÄLV</t>
        </is>
      </c>
      <c r="I70" t="n">
        <v>13.3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45757</v>
      </c>
      <c r="E71" s="1" t="n">
        <v>46233</v>
      </c>
      <c r="F71" t="inlineStr">
        <is>
          <t>VÄSTRA GÖTALANDS LÄN</t>
        </is>
      </c>
      <c r="G71" t="inlineStr">
        <is>
          <t>KUNGÄLV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46233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46233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45694</v>
      </c>
      <c r="E74" s="1" t="n">
        <v>46233</v>
      </c>
      <c r="F74" t="inlineStr">
        <is>
          <t>VÄSTRA GÖTALANDS LÄN</t>
        </is>
      </c>
      <c r="G74" t="inlineStr">
        <is>
          <t>KUNGÄLV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62979-2023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45271</v>
      </c>
      <c r="E75" s="1" t="n">
        <v>46233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46233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46233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46233</v>
      </c>
      <c r="F78" t="inlineStr">
        <is>
          <t>VÄSTRA GÖTALANDS LÄN</t>
        </is>
      </c>
      <c r="G78" t="inlineStr">
        <is>
          <t>KUNGÄLV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46233</v>
      </c>
      <c r="F79" t="inlineStr">
        <is>
          <t>VÄSTRA GÖTALANDS LÄN</t>
        </is>
      </c>
      <c r="G79" t="inlineStr">
        <is>
          <t>KUNGÄLV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45837</v>
      </c>
      <c r="E80" s="1" t="n">
        <v>46233</v>
      </c>
      <c r="F80" t="inlineStr">
        <is>
          <t>VÄSTRA GÖTALANDS LÄN</t>
        </is>
      </c>
      <c r="G80" t="inlineStr">
        <is>
          <t>KUNGÄLV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46233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46163</v>
      </c>
      <c r="E82" s="1" t="n">
        <v>46233</v>
      </c>
      <c r="F82" t="inlineStr">
        <is>
          <t>VÄSTRA GÖTALANDS LÄN</t>
        </is>
      </c>
      <c r="G82" t="inlineStr">
        <is>
          <t>KUNGÄLV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46233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46233</v>
      </c>
      <c r="F84" t="inlineStr">
        <is>
          <t>VÄSTRA GÖTALANDS LÄN</t>
        </is>
      </c>
      <c r="G84" t="inlineStr">
        <is>
          <t>KUNGÄLV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46212</v>
      </c>
      <c r="E85" s="1" t="n">
        <v>46233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30872-2026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46212</v>
      </c>
      <c r="E86" s="1" t="n">
        <v>46233</v>
      </c>
      <c r="F86" t="inlineStr">
        <is>
          <t>VÄSTRA GÖTALANDS LÄN</t>
        </is>
      </c>
      <c r="G86" t="inlineStr">
        <is>
          <t>KUNGÄLV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46211</v>
      </c>
      <c r="E87" s="1" t="n">
        <v>46233</v>
      </c>
      <c r="F87" t="inlineStr">
        <is>
          <t>VÄSTRA GÖTALANDS LÄN</t>
        </is>
      </c>
      <c r="G87" t="inlineStr">
        <is>
          <t>KUNGÄLV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46233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46233</v>
      </c>
      <c r="F89" t="inlineStr">
        <is>
          <t>VÄSTRA GÖTALANDS LÄN</t>
        </is>
      </c>
      <c r="G89" t="inlineStr">
        <is>
          <t>KUNGÄLV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46233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46233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46233</v>
      </c>
      <c r="F92" t="inlineStr">
        <is>
          <t>VÄSTRA GÖTALANDS LÄN</t>
        </is>
      </c>
      <c r="G92" t="inlineStr">
        <is>
          <t>KUNGÄLV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46233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46233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46233</v>
      </c>
      <c r="F95" t="inlineStr">
        <is>
          <t>VÄSTRA GÖTALANDS LÄN</t>
        </is>
      </c>
      <c r="G95" t="inlineStr">
        <is>
          <t>KUNGÄLV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46233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46233</v>
      </c>
      <c r="F97" t="inlineStr">
        <is>
          <t>VÄSTRA GÖTALANDS LÄN</t>
        </is>
      </c>
      <c r="G97" t="inlineStr">
        <is>
          <t>KUNGÄLV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46233</v>
      </c>
      <c r="F98" t="inlineStr">
        <is>
          <t>VÄSTRA GÖTALANDS LÄN</t>
        </is>
      </c>
      <c r="G98" t="inlineStr">
        <is>
          <t>KUNGÄLV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46233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46233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46233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46233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46233</v>
      </c>
      <c r="F103" t="inlineStr">
        <is>
          <t>VÄSTRA GÖTALANDS LÄN</t>
        </is>
      </c>
      <c r="G103" t="inlineStr">
        <is>
          <t>KUNGÄLV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46233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46233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2026-07-30T01:54:25Z</dcterms:created>
  <dcterms:modified xmlns:dcterms="http://purl.org/dc/terms/" xmlns:xsi="http://www.w3.org/2001/XMLSchema-instance" xsi:type="dcterms:W3CDTF">2026-07-30T01:54:25Z</dcterms:modified>
</cp:coreProperties>
</file>