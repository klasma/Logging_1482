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46274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46274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46274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46274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46274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46274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Kambräken
Västlig hakmossa
Spillkråka</t>
        </is>
      </c>
      <c r="W11">
        <f>HYPERLINK("https://klasma.github.io/Logging_1482/artfynd/A 53008-2025 artfynd.xlsx", "A 53008-2025")</f>
        <v/>
      </c>
      <c r="X11">
        <f>HYPERLINK("https://klasma.github.io/Logging_1482/kartor/A 53008-2025 karta.png", "A 53008-2025")</f>
        <v/>
      </c>
      <c r="Y11">
        <f>HYPERLINK("https://klasma.github.io/Logging_1482/kartor_geotiff/A 53008-2025 georefererad karta.tif", "A 53008-2025")</f>
        <v/>
      </c>
      <c r="AA11">
        <f>HYPERLINK("https://klasma.github.io/Logging_1482/klagomål/A 53008-2025 FSC-klagomål.docx", "A 53008-2025")</f>
        <v/>
      </c>
      <c r="AB11">
        <f>HYPERLINK("https://klasma.github.io/Logging_1482/klagomålsmail/A 53008-2025 FSC-klagomål mail.docx", "A 53008-2025")</f>
        <v/>
      </c>
      <c r="AC11">
        <f>HYPERLINK("https://klasma.github.io/Logging_1482/tillsyn/A 53008-2025 tillsynsbegäran.docx", "A 53008-2025")</f>
        <v/>
      </c>
      <c r="AD11">
        <f>HYPERLINK("https://klasma.github.io/Logging_1482/tillsynsmail/A 53008-2025 tillsynsbegäran mail.docx", "A 53008-2025")</f>
        <v/>
      </c>
      <c r="AE11">
        <f>HYPERLINK("https://klasma.github.io/Logging_1482/fåglar/A 53008-2025 prioriterade fågelarter.docx", "A 53008-2025")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46274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46274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46274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46274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46274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46274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46274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46274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23704-2024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45454</v>
      </c>
      <c r="E20" s="1" t="n">
        <v>46274</v>
      </c>
      <c r="F20" t="inlineStr">
        <is>
          <t>VÄSTRA GÖTALANDS LÄN</t>
        </is>
      </c>
      <c r="G20" t="inlineStr">
        <is>
          <t>KUNGÄLV</t>
        </is>
      </c>
      <c r="I20" t="n">
        <v>4.9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Hedjohannesört</t>
        </is>
      </c>
      <c r="W20">
        <f>HYPERLINK("https://klasma.github.io/Logging_1482/artfynd/A 23704-2024 artfynd.xlsx", "A 23704-2024")</f>
        <v/>
      </c>
      <c r="X20">
        <f>HYPERLINK("https://klasma.github.io/Logging_1482/kartor/A 23704-2024 karta.png", "A 23704-2024")</f>
        <v/>
      </c>
      <c r="Y20">
        <f>HYPERLINK("https://klasma.github.io/Logging_1482/kartor_geotiff/A 23704-2024 georefererad karta.tif", "A 23704-2024")</f>
        <v/>
      </c>
      <c r="AA20">
        <f>HYPERLINK("https://klasma.github.io/Logging_1482/klagomål/A 23704-2024 FSC-klagomål.docx", "A 23704-2024")</f>
        <v/>
      </c>
      <c r="AB20">
        <f>HYPERLINK("https://klasma.github.io/Logging_1482/klagomålsmail/A 23704-2024 FSC-klagomål mail.docx", "A 23704-2024")</f>
        <v/>
      </c>
      <c r="AC20">
        <f>HYPERLINK("https://klasma.github.io/Logging_1482/tillsyn/A 23704-2024 tillsynsbegäran.docx", "A 23704-2024")</f>
        <v/>
      </c>
      <c r="AD20">
        <f>HYPERLINK("https://klasma.github.io/Logging_1482/tillsynsmail/A 23704-2024 tillsynsbegäran mail.docx", "A 23704-2024")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46274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46274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46274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46274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46274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46274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46274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46274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46274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46274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46274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46274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46274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45058</v>
      </c>
      <c r="E35" s="1" t="n">
        <v>46274</v>
      </c>
      <c r="F35" t="inlineStr">
        <is>
          <t>VÄSTRA GÖTALANDS LÄN</t>
        </is>
      </c>
      <c r="G35" t="inlineStr">
        <is>
          <t>KUNGÄLV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46274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46274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46274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46274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46274</v>
      </c>
      <c r="F40" t="inlineStr">
        <is>
          <t>VÄSTRA GÖTALANDS LÄN</t>
        </is>
      </c>
      <c r="G40" t="inlineStr">
        <is>
          <t>KUNGÄLV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5705-2025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45694</v>
      </c>
      <c r="E41" s="1" t="n">
        <v>46274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45347</v>
      </c>
      <c r="E42" s="1" t="n">
        <v>46274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8334-2023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44975</v>
      </c>
      <c r="E43" s="1" t="n">
        <v>46274</v>
      </c>
      <c r="F43" t="inlineStr">
        <is>
          <t>VÄSTRA GÖTALANDS LÄN</t>
        </is>
      </c>
      <c r="G43" t="inlineStr">
        <is>
          <t>KUNGÄLV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45869</v>
      </c>
      <c r="E44" s="1" t="n">
        <v>46274</v>
      </c>
      <c r="F44" t="inlineStr">
        <is>
          <t>VÄSTRA GÖTALANDS LÄN</t>
        </is>
      </c>
      <c r="G44" t="inlineStr">
        <is>
          <t>KUNGÄLV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46274</v>
      </c>
      <c r="F45" t="inlineStr">
        <is>
          <t>VÄSTRA GÖTALANDS LÄN</t>
        </is>
      </c>
      <c r="G45" t="inlineStr">
        <is>
          <t>KUNGÄLV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46274</v>
      </c>
      <c r="F46" t="inlineStr">
        <is>
          <t>VÄSTRA GÖTALANDS LÄN</t>
        </is>
      </c>
      <c r="G46" t="inlineStr">
        <is>
          <t>KUNGÄLV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46274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45758</v>
      </c>
      <c r="E48" s="1" t="n">
        <v>46274</v>
      </c>
      <c r="F48" t="inlineStr">
        <is>
          <t>VÄSTRA GÖTALANDS LÄN</t>
        </is>
      </c>
      <c r="G48" t="inlineStr">
        <is>
          <t>KUNGÄLV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46274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46274</v>
      </c>
      <c r="F50" t="inlineStr">
        <is>
          <t>VÄSTRA GÖTALANDS LÄN</t>
        </is>
      </c>
      <c r="G50" t="inlineStr">
        <is>
          <t>KUNGÄLV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46274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46274</v>
      </c>
      <c r="F52" t="inlineStr">
        <is>
          <t>VÄSTRA GÖTALANDS LÄN</t>
        </is>
      </c>
      <c r="G52" t="inlineStr">
        <is>
          <t>KUNGÄLV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45308</v>
      </c>
      <c r="E53" s="1" t="n">
        <v>46274</v>
      </c>
      <c r="F53" t="inlineStr">
        <is>
          <t>VÄSTRA GÖTALANDS LÄN</t>
        </is>
      </c>
      <c r="G53" t="inlineStr">
        <is>
          <t>KUNGÄLV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44757</v>
      </c>
      <c r="E54" s="1" t="n">
        <v>46274</v>
      </c>
      <c r="F54" t="inlineStr">
        <is>
          <t>VÄSTRA GÖTALANDS LÄN</t>
        </is>
      </c>
      <c r="G54" t="inlineStr">
        <is>
          <t>KUNGÄLV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44989</v>
      </c>
      <c r="E55" s="1" t="n">
        <v>46274</v>
      </c>
      <c r="F55" t="inlineStr">
        <is>
          <t>VÄSTRA GÖTALANDS LÄN</t>
        </is>
      </c>
      <c r="G55" t="inlineStr">
        <is>
          <t>KUNGÄLV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46274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46274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45837</v>
      </c>
      <c r="E58" s="1" t="n">
        <v>46274</v>
      </c>
      <c r="F58" t="inlineStr">
        <is>
          <t>VÄSTRA GÖTALANDS LÄN</t>
        </is>
      </c>
      <c r="G58" t="inlineStr">
        <is>
          <t>KUNGÄLV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46163</v>
      </c>
      <c r="E59" s="1" t="n">
        <v>46274</v>
      </c>
      <c r="F59" t="inlineStr">
        <is>
          <t>VÄSTRA GÖTALANDS LÄN</t>
        </is>
      </c>
      <c r="G59" t="inlineStr">
        <is>
          <t>KUNGÄLV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45324</v>
      </c>
      <c r="E60" s="1" t="n">
        <v>46274</v>
      </c>
      <c r="F60" t="inlineStr">
        <is>
          <t>VÄSTRA GÖTALANDS LÄN</t>
        </is>
      </c>
      <c r="G60" t="inlineStr">
        <is>
          <t>KUNGÄLV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46274</v>
      </c>
      <c r="F61" t="inlineStr">
        <is>
          <t>VÄSTRA GÖTALANDS LÄN</t>
        </is>
      </c>
      <c r="G61" t="inlineStr">
        <is>
          <t>KUNGÄLV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46274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62979-2023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45271</v>
      </c>
      <c r="E63" s="1" t="n">
        <v>46274</v>
      </c>
      <c r="F63" t="inlineStr">
        <is>
          <t>VÄSTRA GÖTALANDS LÄN</t>
        </is>
      </c>
      <c r="G63" t="inlineStr">
        <is>
          <t>KUNGÄLV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46274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46274</v>
      </c>
      <c r="F65" t="inlineStr">
        <is>
          <t>VÄSTRA GÖTALANDS LÄN</t>
        </is>
      </c>
      <c r="G65" t="inlineStr">
        <is>
          <t>KUNGÄLV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46274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6946-2026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46057</v>
      </c>
      <c r="E67" s="1" t="n">
        <v>46274</v>
      </c>
      <c r="F67" t="inlineStr">
        <is>
          <t>VÄSTRA GÖTALANDS LÄN</t>
        </is>
      </c>
      <c r="G67" t="inlineStr">
        <is>
          <t>KUNGÄLV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26812-2024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45470</v>
      </c>
      <c r="E68" s="1" t="n">
        <v>46274</v>
      </c>
      <c r="F68" t="inlineStr">
        <is>
          <t>VÄSTRA GÖTALANDS LÄN</t>
        </is>
      </c>
      <c r="G68" t="inlineStr">
        <is>
          <t>KUNGÄLV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29952-2026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46274</v>
      </c>
      <c r="F69" t="inlineStr">
        <is>
          <t>VÄSTRA GÖTALANDS LÄN</t>
        </is>
      </c>
      <c r="G69" t="inlineStr">
        <is>
          <t>KUNGÄLV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46254</v>
      </c>
      <c r="E70" s="1" t="n">
        <v>46274</v>
      </c>
      <c r="F70" t="inlineStr">
        <is>
          <t>VÄSTRA GÖTALANDS LÄN</t>
        </is>
      </c>
      <c r="G70" t="inlineStr">
        <is>
          <t>KUNGÄLV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46274</v>
      </c>
      <c r="F71" t="inlineStr">
        <is>
          <t>VÄSTRA GÖTALANDS LÄN</t>
        </is>
      </c>
      <c r="G71" t="inlineStr">
        <is>
          <t>KUNGÄLV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46274</v>
      </c>
      <c r="F72" t="inlineStr">
        <is>
          <t>VÄSTRA GÖTALANDS LÄN</t>
        </is>
      </c>
      <c r="G72" t="inlineStr">
        <is>
          <t>KUNGÄLV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46274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46274</v>
      </c>
      <c r="F74" t="inlineStr">
        <is>
          <t>VÄSTRA GÖTALANDS LÄN</t>
        </is>
      </c>
      <c r="G74" t="inlineStr">
        <is>
          <t>KUNGÄLV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34396-2026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46254</v>
      </c>
      <c r="E75" s="1" t="n">
        <v>46274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46211</v>
      </c>
      <c r="E76" s="1" t="n">
        <v>46274</v>
      </c>
      <c r="F76" t="inlineStr">
        <is>
          <t>VÄSTRA GÖTALANDS LÄN</t>
        </is>
      </c>
      <c r="G76" t="inlineStr">
        <is>
          <t>KUNGÄLV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30859-2026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46212</v>
      </c>
      <c r="E77" s="1" t="n">
        <v>46274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46274</v>
      </c>
      <c r="F78" t="inlineStr">
        <is>
          <t>VÄSTRA GÖTALANDS LÄN</t>
        </is>
      </c>
      <c r="G78" t="inlineStr">
        <is>
          <t>KUNGÄLV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46274</v>
      </c>
      <c r="F79" t="inlineStr">
        <is>
          <t>VÄSTRA GÖTALANDS LÄN</t>
        </is>
      </c>
      <c r="G79" t="inlineStr">
        <is>
          <t>KUNGÄLV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46098</v>
      </c>
      <c r="E80" s="1" t="n">
        <v>46274</v>
      </c>
      <c r="F80" t="inlineStr">
        <is>
          <t>VÄSTRA GÖTALANDS LÄN</t>
        </is>
      </c>
      <c r="G80" t="inlineStr">
        <is>
          <t>KUNGÄLV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46274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44846</v>
      </c>
      <c r="E82" s="1" t="n">
        <v>46274</v>
      </c>
      <c r="F82" t="inlineStr">
        <is>
          <t>VÄSTRA GÖTALANDS LÄN</t>
        </is>
      </c>
      <c r="G82" t="inlineStr">
        <is>
          <t>KUNGÄLV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46274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46274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44543</v>
      </c>
      <c r="E85" s="1" t="n">
        <v>46274</v>
      </c>
      <c r="F85" t="inlineStr">
        <is>
          <t>VÄSTRA GÖTALANDS LÄN</t>
        </is>
      </c>
      <c r="G85" t="inlineStr">
        <is>
          <t>KUNGÄLV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45222</v>
      </c>
      <c r="E86" s="1" t="n">
        <v>46274</v>
      </c>
      <c r="F86" t="inlineStr">
        <is>
          <t>VÄSTRA GÖTALANDS LÄN</t>
        </is>
      </c>
      <c r="G86" t="inlineStr">
        <is>
          <t>KUNGÄLV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46274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24461-2023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45082</v>
      </c>
      <c r="E88" s="1" t="n">
        <v>46274</v>
      </c>
      <c r="F88" t="inlineStr">
        <is>
          <t>VÄSTRA GÖTALANDS LÄN</t>
        </is>
      </c>
      <c r="G88" t="inlineStr">
        <is>
          <t>KUNGÄLV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46274</v>
      </c>
      <c r="F89" t="inlineStr">
        <is>
          <t>VÄSTRA GÖTALANDS LÄN</t>
        </is>
      </c>
      <c r="G89" t="inlineStr">
        <is>
          <t>KUNGÄLV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46274</v>
      </c>
      <c r="F90" t="inlineStr">
        <is>
          <t>VÄSTRA GÖTALANDS LÄN</t>
        </is>
      </c>
      <c r="G90" t="inlineStr">
        <is>
          <t>KUNGÄLV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46274</v>
      </c>
      <c r="F91" t="inlineStr">
        <is>
          <t>VÄSTRA GÖTALANDS LÄN</t>
        </is>
      </c>
      <c r="G91" t="inlineStr">
        <is>
          <t>KUNGÄLV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46274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46274</v>
      </c>
      <c r="F93" t="inlineStr">
        <is>
          <t>VÄSTRA GÖTALANDS LÄN</t>
        </is>
      </c>
      <c r="G93" t="inlineStr">
        <is>
          <t>KUNGÄLV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46274</v>
      </c>
      <c r="F94" t="inlineStr">
        <is>
          <t>VÄSTRA GÖTALANDS LÄN</t>
        </is>
      </c>
      <c r="G94" t="inlineStr">
        <is>
          <t>KUNGÄLV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46274</v>
      </c>
      <c r="F95" t="inlineStr">
        <is>
          <t>VÄSTRA GÖTALANDS LÄN</t>
        </is>
      </c>
      <c r="G95" t="inlineStr">
        <is>
          <t>KUNGÄLV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46274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46274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74285-2021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44558</v>
      </c>
      <c r="E98" s="1" t="n">
        <v>46274</v>
      </c>
      <c r="F98" t="inlineStr">
        <is>
          <t>VÄSTRA GÖTALANDS LÄN</t>
        </is>
      </c>
      <c r="G98" t="inlineStr">
        <is>
          <t>KUNGÄLV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46274</v>
      </c>
      <c r="F99" t="inlineStr">
        <is>
          <t>VÄSTRA GÖTALANDS LÄN</t>
        </is>
      </c>
      <c r="G99" t="inlineStr">
        <is>
          <t>KUNGÄLV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46274</v>
      </c>
      <c r="F100" t="inlineStr">
        <is>
          <t>VÄSTRA GÖTALANDS LÄN</t>
        </is>
      </c>
      <c r="G100" t="inlineStr">
        <is>
          <t>KUNGÄLV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46274</v>
      </c>
      <c r="F101" t="inlineStr">
        <is>
          <t>VÄSTRA GÖTALANDS LÄN</t>
        </is>
      </c>
      <c r="G101" t="inlineStr">
        <is>
          <t>KUNGÄLV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45844</v>
      </c>
      <c r="E102" s="1" t="n">
        <v>46274</v>
      </c>
      <c r="F102" t="inlineStr">
        <is>
          <t>VÄSTRA GÖTALANDS LÄN</t>
        </is>
      </c>
      <c r="G102" t="inlineStr">
        <is>
          <t>KUNGÄLV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46274</v>
      </c>
      <c r="F103" t="inlineStr">
        <is>
          <t>VÄSTRA GÖTALANDS LÄN</t>
        </is>
      </c>
      <c r="G103" t="inlineStr">
        <is>
          <t>KUNGÄLV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46274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2026-09-09T02:13:01Z</dcterms:created>
  <dcterms:modified xmlns:dcterms="http://purl.org/dc/terms/" xmlns:xsi="http://www.w3.org/2001/XMLSchema-instance" xsi:type="dcterms:W3CDTF">2026-09-09T02:13:02Z</dcterms:modified>
</cp:coreProperties>
</file>