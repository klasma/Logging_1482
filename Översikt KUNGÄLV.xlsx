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11</v>
      </c>
      <c r="T3" t="n">
        <v>18</v>
      </c>
      <c r="U3" t="n">
        <v>15</v>
      </c>
      <c r="V3" s="2" t="inlineStr">
        <is>
          <t>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46236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46236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46236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8558-2024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45355</v>
      </c>
      <c r="E9" s="1" t="n">
        <v>46236</v>
      </c>
      <c r="F9" t="inlineStr">
        <is>
          <t>VÄSTRA GÖTALANDS LÄN</t>
        </is>
      </c>
      <c r="G9" t="inlineStr">
        <is>
          <t>KUNGÄLV</t>
        </is>
      </c>
      <c r="I9" t="n">
        <v>12.5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Gulsparv
Spillkråka
Revlummer</t>
        </is>
      </c>
      <c r="W9">
        <f>HYPERLINK("https://klasma.github.io/Logging_1482/artfynd/A 8558-2024 artfynd.xlsx", "A 8558-2024")</f>
        <v/>
      </c>
      <c r="X9">
        <f>HYPERLINK("https://klasma.github.io/Logging_1482/kartor/A 8558-2024 karta.png", "A 8558-2024")</f>
        <v/>
      </c>
      <c r="Y9">
        <f>HYPERLINK("https://klasma.github.io/Logging_1482/kartor_geotiff/A 8558-2024 georefererad karta.tif", "A 8558-2024")</f>
        <v/>
      </c>
      <c r="AA9">
        <f>HYPERLINK("https://klasma.github.io/Logging_1482/klagomål/A 8558-2024 FSC-klagomål.docx", "A 8558-2024")</f>
        <v/>
      </c>
      <c r="AB9">
        <f>HYPERLINK("https://klasma.github.io/Logging_1482/klagomålsmail/A 8558-2024 FSC-klagomål mail.docx", "A 8558-2024")</f>
        <v/>
      </c>
      <c r="AC9">
        <f>HYPERLINK("https://klasma.github.io/Logging_1482/tillsyn/A 8558-2024 tillsynsbegäran.docx", "A 8558-2024")</f>
        <v/>
      </c>
      <c r="AD9">
        <f>HYPERLINK("https://klasma.github.io/Logging_1482/tillsynsmail/A 8558-2024 tillsynsbegäran mail.docx", "A 8558-2024")</f>
        <v/>
      </c>
      <c r="AE9">
        <f>HYPERLINK("https://klasma.github.io/Logging_1482/fåglar/A 8558-2024 prioriterade fågelarter.docx", "A 8558-2024")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46236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46236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46236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46236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46236</v>
      </c>
      <c r="F14" t="inlineStr">
        <is>
          <t>VÄSTRA GÖTALANDS LÄN</t>
        </is>
      </c>
      <c r="G14" t="inlineStr">
        <is>
          <t>KUNGÄLV</t>
        </is>
      </c>
      <c r="I14" t="n">
        <v>2.9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Västlig hakmossa
Spillkråka</t>
        </is>
      </c>
      <c r="W14">
        <f>HYPERLINK("https://klasma.github.io/Logging_1482/artfynd/A 53007-2025 artfynd.xlsx", "A 53007-2025")</f>
        <v/>
      </c>
      <c r="X14">
        <f>HYPERLINK("https://klasma.github.io/Logging_1482/kartor/A 53007-2025 karta.png", "A 53007-2025")</f>
        <v/>
      </c>
      <c r="Y14">
        <f>HYPERLINK("https://klasma.github.io/Logging_1482/kartor_geotiff/A 53007-2025 georefererad karta.tif", "A 53007-2025")</f>
        <v/>
      </c>
      <c r="AA14">
        <f>HYPERLINK("https://klasma.github.io/Logging_1482/klagomål/A 53007-2025 FSC-klagomål.docx", "A 53007-2025")</f>
        <v/>
      </c>
      <c r="AB14">
        <f>HYPERLINK("https://klasma.github.io/Logging_1482/klagomålsmail/A 53007-2025 FSC-klagomål mail.docx", "A 53007-2025")</f>
        <v/>
      </c>
      <c r="AC14">
        <f>HYPERLINK("https://klasma.github.io/Logging_1482/tillsyn/A 53007-2025 tillsynsbegäran.docx", "A 53007-2025")</f>
        <v/>
      </c>
      <c r="AD14">
        <f>HYPERLINK("https://klasma.github.io/Logging_1482/tillsynsmail/A 53007-2025 tillsynsbegäran mail.docx", "A 53007-2025")</f>
        <v/>
      </c>
      <c r="AE14">
        <f>HYPERLINK("https://klasma.github.io/Logging_1482/fåglar/A 53007-2025 prioriterade fågelarter.docx", "A 53007-2025")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46236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46236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46236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46236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46236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46236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46236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46236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46236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46236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46236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46236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46236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46236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46236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46236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46236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46236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46236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41765-2021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46236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46236</v>
      </c>
      <c r="F36" t="inlineStr">
        <is>
          <t>VÄSTRA GÖTALANDS LÄN</t>
        </is>
      </c>
      <c r="G36" t="inlineStr">
        <is>
          <t>KUNGÄLV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46236</v>
      </c>
      <c r="F37" t="inlineStr">
        <is>
          <t>VÄSTRA GÖTALANDS LÄN</t>
        </is>
      </c>
      <c r="G37" t="inlineStr">
        <is>
          <t>KUNGÄLV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46236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46236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44757</v>
      </c>
      <c r="E40" s="1" t="n">
        <v>46236</v>
      </c>
      <c r="F40" t="inlineStr">
        <is>
          <t>VÄSTRA GÖTALANDS LÄN</t>
        </is>
      </c>
      <c r="G40" t="inlineStr">
        <is>
          <t>KUNGÄLV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46236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46236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45391</v>
      </c>
      <c r="E43" s="1" t="n">
        <v>46236</v>
      </c>
      <c r="F43" t="inlineStr">
        <is>
          <t>VÄSTRA GÖTALANDS LÄN</t>
        </is>
      </c>
      <c r="G43" t="inlineStr">
        <is>
          <t>KUNGÄLV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46236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45308</v>
      </c>
      <c r="E45" s="1" t="n">
        <v>46236</v>
      </c>
      <c r="F45" t="inlineStr">
        <is>
          <t>VÄSTRA GÖTALANDS LÄN</t>
        </is>
      </c>
      <c r="G45" t="inlineStr">
        <is>
          <t>KUNGÄLV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46236</v>
      </c>
      <c r="F46" t="inlineStr">
        <is>
          <t>VÄSTRA GÖTALANDS LÄN</t>
        </is>
      </c>
      <c r="G46" t="inlineStr">
        <is>
          <t>KUNGÄLV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46236</v>
      </c>
      <c r="F47" t="inlineStr">
        <is>
          <t>VÄSTRA GÖTALANDS LÄN</t>
        </is>
      </c>
      <c r="G47" t="inlineStr">
        <is>
          <t>KUNGÄLV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46236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44975</v>
      </c>
      <c r="E49" s="1" t="n">
        <v>46236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46236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46236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46236</v>
      </c>
      <c r="F52" t="inlineStr">
        <is>
          <t>VÄSTRA GÖTALANDS LÄN</t>
        </is>
      </c>
      <c r="G52" t="inlineStr">
        <is>
          <t>KUNGÄLV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46236</v>
      </c>
      <c r="F53" t="inlineStr">
        <is>
          <t>VÄSTRA GÖTALANDS LÄN</t>
        </is>
      </c>
      <c r="G53" t="inlineStr">
        <is>
          <t>KUNGÄLV</t>
        </is>
      </c>
      <c r="I53" t="n">
        <v>14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45664</v>
      </c>
      <c r="E54" s="1" t="n">
        <v>46236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46236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46236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45837</v>
      </c>
      <c r="E57" s="1" t="n">
        <v>46236</v>
      </c>
      <c r="F57" t="inlineStr">
        <is>
          <t>VÄSTRA GÖTALANDS LÄN</t>
        </is>
      </c>
      <c r="G57" t="inlineStr">
        <is>
          <t>KUNGÄLV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46236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46163</v>
      </c>
      <c r="E59" s="1" t="n">
        <v>46236</v>
      </c>
      <c r="F59" t="inlineStr">
        <is>
          <t>VÄSTRA GÖTALANDS LÄN</t>
        </is>
      </c>
      <c r="G59" t="inlineStr">
        <is>
          <t>KUNGÄLV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46236</v>
      </c>
      <c r="F60" t="inlineStr">
        <is>
          <t>VÄSTRA GÖTALANDS LÄN</t>
        </is>
      </c>
      <c r="G60" t="inlineStr">
        <is>
          <t>KUNGÄLV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46236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46236</v>
      </c>
      <c r="F62" t="inlineStr">
        <is>
          <t>VÄSTRA GÖTALANDS LÄN</t>
        </is>
      </c>
      <c r="G62" t="inlineStr">
        <is>
          <t>KUNGÄLV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46236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46211</v>
      </c>
      <c r="E64" s="1" t="n">
        <v>46236</v>
      </c>
      <c r="F64" t="inlineStr">
        <is>
          <t>VÄSTRA GÖTALANDS LÄN</t>
        </is>
      </c>
      <c r="G64" t="inlineStr">
        <is>
          <t>KUNGÄLV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44989</v>
      </c>
      <c r="E65" s="1" t="n">
        <v>46236</v>
      </c>
      <c r="F65" t="inlineStr">
        <is>
          <t>VÄSTRA GÖTALANDS LÄN</t>
        </is>
      </c>
      <c r="G65" t="inlineStr">
        <is>
          <t>KUNGÄLV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46236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63319-2021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46236</v>
      </c>
      <c r="F67" t="inlineStr">
        <is>
          <t>VÄSTRA GÖTALANDS LÄN</t>
        </is>
      </c>
      <c r="G67" t="inlineStr">
        <is>
          <t>KUNGÄLV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45347</v>
      </c>
      <c r="E68" s="1" t="n">
        <v>46236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46236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46236</v>
      </c>
      <c r="F70" t="inlineStr">
        <is>
          <t>VÄSTRA GÖTALANDS LÄN</t>
        </is>
      </c>
      <c r="G70" t="inlineStr">
        <is>
          <t>KUNGÄLV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46236</v>
      </c>
      <c r="F71" t="inlineStr">
        <is>
          <t>VÄSTRA GÖTALANDS LÄN</t>
        </is>
      </c>
      <c r="G71" t="inlineStr">
        <is>
          <t>KUNGÄLV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6946-2026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46057</v>
      </c>
      <c r="E72" s="1" t="n">
        <v>46236</v>
      </c>
      <c r="F72" t="inlineStr">
        <is>
          <t>VÄSTRA GÖTALANDS LÄN</t>
        </is>
      </c>
      <c r="G72" t="inlineStr">
        <is>
          <t>KUNGÄLV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46236</v>
      </c>
      <c r="F73" t="inlineStr">
        <is>
          <t>VÄSTRA GÖTALANDS LÄN</t>
        </is>
      </c>
      <c r="G73" t="inlineStr">
        <is>
          <t>KUNGÄLV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46236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45426</v>
      </c>
      <c r="E75" s="1" t="n">
        <v>46236</v>
      </c>
      <c r="F75" t="inlineStr">
        <is>
          <t>VÄSTRA GÖTALANDS LÄN</t>
        </is>
      </c>
      <c r="G75" t="inlineStr">
        <is>
          <t>KUNGÄLV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46236</v>
      </c>
      <c r="F76" t="inlineStr">
        <is>
          <t>VÄSTRA GÖTALANDS LÄN</t>
        </is>
      </c>
      <c r="G76" t="inlineStr">
        <is>
          <t>KUNGÄLV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44176-2023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45188</v>
      </c>
      <c r="E77" s="1" t="n">
        <v>46236</v>
      </c>
      <c r="F77" t="inlineStr">
        <is>
          <t>VÄSTRA GÖTALANDS LÄN</t>
        </is>
      </c>
      <c r="G77" t="inlineStr">
        <is>
          <t>KUNGÄLV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46236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46236</v>
      </c>
      <c r="F79" t="inlineStr">
        <is>
          <t>VÄSTRA GÖTALANDS LÄN</t>
        </is>
      </c>
      <c r="G79" t="inlineStr">
        <is>
          <t>KUNGÄLV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46236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46236</v>
      </c>
      <c r="F81" t="inlineStr">
        <is>
          <t>VÄSTRA GÖTALANDS LÄN</t>
        </is>
      </c>
      <c r="G81" t="inlineStr">
        <is>
          <t>KUNGÄLV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45552</v>
      </c>
      <c r="E82" s="1" t="n">
        <v>46236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46236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46236</v>
      </c>
      <c r="F84" t="inlineStr">
        <is>
          <t>VÄSTRA GÖTALANDS LÄN</t>
        </is>
      </c>
      <c r="G84" t="inlineStr">
        <is>
          <t>KUNGÄLV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45694</v>
      </c>
      <c r="E85" s="1" t="n">
        <v>46236</v>
      </c>
      <c r="F85" t="inlineStr">
        <is>
          <t>VÄSTRA GÖTALANDS LÄN</t>
        </is>
      </c>
      <c r="G85" t="inlineStr">
        <is>
          <t>KUNGÄLV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62979-2023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45271</v>
      </c>
      <c r="E86" s="1" t="n">
        <v>46236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46236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46236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44755</v>
      </c>
      <c r="E89" s="1" t="n">
        <v>46236</v>
      </c>
      <c r="F89" t="inlineStr">
        <is>
          <t>VÄSTRA GÖTALANDS LÄN</t>
        </is>
      </c>
      <c r="G89" t="inlineStr">
        <is>
          <t>KUNGÄLV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46236</v>
      </c>
      <c r="F90" t="inlineStr">
        <is>
          <t>VÄSTRA GÖTALANDS LÄN</t>
        </is>
      </c>
      <c r="G90" t="inlineStr">
        <is>
          <t>KUNGÄLV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46236</v>
      </c>
      <c r="F91" t="inlineStr">
        <is>
          <t>VÄSTRA GÖTALANDS LÄN</t>
        </is>
      </c>
      <c r="G91" t="inlineStr">
        <is>
          <t>KUNGÄLV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46236</v>
      </c>
      <c r="F92" t="inlineStr">
        <is>
          <t>VÄSTRA GÖTALANDS LÄN</t>
        </is>
      </c>
      <c r="G92" t="inlineStr">
        <is>
          <t>KUNGÄLV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46236</v>
      </c>
      <c r="F93" t="inlineStr">
        <is>
          <t>VÄSTRA GÖTALANDS LÄN</t>
        </is>
      </c>
      <c r="G93" t="inlineStr">
        <is>
          <t>KUNGÄLV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46236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46236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45743</v>
      </c>
      <c r="E96" s="1" t="n">
        <v>46236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46236</v>
      </c>
      <c r="F97" t="inlineStr">
        <is>
          <t>VÄSTRA GÖTALANDS LÄN</t>
        </is>
      </c>
      <c r="G97" t="inlineStr">
        <is>
          <t>KUNGÄLV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46236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46236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46236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46236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46236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46236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46236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46236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2026-08-02T01:53:48Z</dcterms:created>
  <dcterms:modified xmlns:dcterms="http://purl.org/dc/terms/" xmlns:xsi="http://www.w3.org/2001/XMLSchema-instance" xsi:type="dcterms:W3CDTF">2026-08-02T01:53:48Z</dcterms:modified>
</cp:coreProperties>
</file>