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45904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45904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45904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45904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45904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45904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45904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45904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38103-2025</t>
        </is>
      </c>
      <c r="B10" s="1" t="n">
        <v>45882.49244212963</v>
      </c>
      <c r="C10" s="1" t="n">
        <v>45904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HYPERLINK("https://klasma.github.io/Logging_1482/artfynd/A 38103-2025 artfynd.xlsx", "A 38103-2025")</f>
        <v/>
      </c>
      <c r="T10">
        <f>HYPERLINK("https://klasma.github.io/Logging_1482/kartor/A 38103-2025 karta.png", "A 38103-2025")</f>
        <v/>
      </c>
      <c r="V10">
        <f>HYPERLINK("https://klasma.github.io/Logging_1482/klagomål/A 38103-2025 FSC-klagomål.docx", "A 38103-2025")</f>
        <v/>
      </c>
      <c r="W10">
        <f>HYPERLINK("https://klasma.github.io/Logging_1482/klagomålsmail/A 38103-2025 FSC-klagomål mail.docx", "A 38103-2025")</f>
        <v/>
      </c>
      <c r="X10">
        <f>HYPERLINK("https://klasma.github.io/Logging_1482/tillsyn/A 38103-2025 tillsynsbegäran.docx", "A 38103-2025")</f>
        <v/>
      </c>
      <c r="Y10">
        <f>HYPERLINK("https://klasma.github.io/Logging_1482/tillsynsmail/A 38103-2025 tillsynsbegäran mail.docx", "A 38103-2025")</f>
        <v/>
      </c>
      <c r="Z10">
        <f>HYPERLINK("https://klasma.github.io/Logging_1482/fåglar/A 38103-2025 prioriterade fågelarter.docx", "A 38103-2025")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45904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45904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4892-2021</t>
        </is>
      </c>
      <c r="B13" s="1" t="n">
        <v>44224</v>
      </c>
      <c r="C13" s="1" t="n">
        <v>45904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45904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45904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45904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45904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45904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45904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45904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45904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45904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45904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45904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45904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50413-2021</t>
        </is>
      </c>
      <c r="B26" s="1" t="n">
        <v>44459</v>
      </c>
      <c r="C26" s="1" t="n">
        <v>45904</v>
      </c>
      <c r="D26" t="inlineStr">
        <is>
          <t>VÄSTRA GÖTALANDS LÄN</t>
        </is>
      </c>
      <c r="E26" t="inlineStr">
        <is>
          <t>KUNGÄLV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45904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45904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45904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45904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45904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45904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3026-2021</t>
        </is>
      </c>
      <c r="B33" s="1" t="n">
        <v>44216</v>
      </c>
      <c r="C33" s="1" t="n">
        <v>45904</v>
      </c>
      <c r="D33" t="inlineStr">
        <is>
          <t>VÄSTRA GÖTALANDS LÄN</t>
        </is>
      </c>
      <c r="E33" t="inlineStr">
        <is>
          <t>KUNGÄLV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34366-2022</t>
        </is>
      </c>
      <c r="B34" s="1" t="n">
        <v>44792</v>
      </c>
      <c r="C34" s="1" t="n">
        <v>45904</v>
      </c>
      <c r="D34" t="inlineStr">
        <is>
          <t>VÄSTRA GÖTALANDS LÄN</t>
        </is>
      </c>
      <c r="E34" t="inlineStr">
        <is>
          <t>KUNGÄLV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45904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45904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45904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45904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5631-2024</t>
        </is>
      </c>
      <c r="B39" s="1" t="n">
        <v>45334.61013888889</v>
      </c>
      <c r="C39" s="1" t="n">
        <v>45904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26812-2024</t>
        </is>
      </c>
      <c r="B40" s="1" t="n">
        <v>45470.54344907407</v>
      </c>
      <c r="C40" s="1" t="n">
        <v>45904</v>
      </c>
      <c r="D40" t="inlineStr">
        <is>
          <t>VÄSTRA GÖTALANDS LÄN</t>
        </is>
      </c>
      <c r="E40" t="inlineStr">
        <is>
          <t>KUNGÄLV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45904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29801-2022</t>
        </is>
      </c>
      <c r="B42" s="1" t="n">
        <v>44755.70518518519</v>
      </c>
      <c r="C42" s="1" t="n">
        <v>45904</v>
      </c>
      <c r="D42" t="inlineStr">
        <is>
          <t>VÄSTRA GÖTALANDS LÄN</t>
        </is>
      </c>
      <c r="E42" t="inlineStr">
        <is>
          <t>KUNGÄLV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18852-2024</t>
        </is>
      </c>
      <c r="B43" s="1" t="n">
        <v>45426.69550925926</v>
      </c>
      <c r="C43" s="1" t="n">
        <v>45904</v>
      </c>
      <c r="D43" t="inlineStr">
        <is>
          <t>VÄSTRA GÖTALANDS LÄN</t>
        </is>
      </c>
      <c r="E43" t="inlineStr">
        <is>
          <t>KUNGÄLV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45904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17921-2025</t>
        </is>
      </c>
      <c r="B45" s="1" t="n">
        <v>45758.90662037037</v>
      </c>
      <c r="C45" s="1" t="n">
        <v>45904</v>
      </c>
      <c r="D45" t="inlineStr">
        <is>
          <t>VÄSTRA GÖTALANDS LÄN</t>
        </is>
      </c>
      <c r="E45" t="inlineStr">
        <is>
          <t>KUNGÄLV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45904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10677-2025</t>
        </is>
      </c>
      <c r="B47" s="1" t="n">
        <v>45721.89055555555</v>
      </c>
      <c r="C47" s="1" t="n">
        <v>45904</v>
      </c>
      <c r="D47" t="inlineStr">
        <is>
          <t>VÄSTRA GÖTALANDS LÄN</t>
        </is>
      </c>
      <c r="E47" t="inlineStr">
        <is>
          <t>KUNGÄLV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45904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10679-2025</t>
        </is>
      </c>
      <c r="B49" s="1" t="n">
        <v>45721.89462962963</v>
      </c>
      <c r="C49" s="1" t="n">
        <v>45904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8943-2025</t>
        </is>
      </c>
      <c r="B50" s="1" t="n">
        <v>45713.45105324074</v>
      </c>
      <c r="C50" s="1" t="n">
        <v>45904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11237-2025</t>
        </is>
      </c>
      <c r="B51" s="1" t="n">
        <v>45726.36668981481</v>
      </c>
      <c r="C51" s="1" t="n">
        <v>45904</v>
      </c>
      <c r="D51" t="inlineStr">
        <is>
          <t>VÄSTRA GÖTALANDS LÄN</t>
        </is>
      </c>
      <c r="E51" t="inlineStr">
        <is>
          <t>KUNGÄLV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45904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45904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15078-2025</t>
        </is>
      </c>
      <c r="B54" s="1" t="n">
        <v>45743.84284722222</v>
      </c>
      <c r="C54" s="1" t="n">
        <v>45904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10655-2022</t>
        </is>
      </c>
      <c r="B55" s="1" t="n">
        <v>44624</v>
      </c>
      <c r="C55" s="1" t="n">
        <v>45904</v>
      </c>
      <c r="D55" t="inlineStr">
        <is>
          <t>VÄSTRA GÖTALANDS LÄN</t>
        </is>
      </c>
      <c r="E55" t="inlineStr">
        <is>
          <t>KUNGÄLV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74285-2021</t>
        </is>
      </c>
      <c r="B56" s="1" t="n">
        <v>44558</v>
      </c>
      <c r="C56" s="1" t="n">
        <v>45904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39714-2024</t>
        </is>
      </c>
      <c r="B57" s="1" t="n">
        <v>45552.60074074074</v>
      </c>
      <c r="C57" s="1" t="n">
        <v>45904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16538-2025</t>
        </is>
      </c>
      <c r="B58" s="1" t="n">
        <v>45751.66126157407</v>
      </c>
      <c r="C58" s="1" t="n">
        <v>45904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45990-2022</t>
        </is>
      </c>
      <c r="B59" s="1" t="n">
        <v>44846</v>
      </c>
      <c r="C59" s="1" t="n">
        <v>45904</v>
      </c>
      <c r="D59" t="inlineStr">
        <is>
          <t>VÄSTRA GÖTALANDS LÄN</t>
        </is>
      </c>
      <c r="E59" t="inlineStr">
        <is>
          <t>KUNGÄLV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61417-2022</t>
        </is>
      </c>
      <c r="B60" s="1" t="n">
        <v>44916.35082175926</v>
      </c>
      <c r="C60" s="1" t="n">
        <v>45904</v>
      </c>
      <c r="D60" t="inlineStr">
        <is>
          <t>VÄSTRA GÖTALANDS LÄN</t>
        </is>
      </c>
      <c r="E60" t="inlineStr">
        <is>
          <t>KUNGÄLV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143-2023</t>
        </is>
      </c>
      <c r="B61" s="1" t="n">
        <v>44928.53378472223</v>
      </c>
      <c r="C61" s="1" t="n">
        <v>45904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32272-2023</t>
        </is>
      </c>
      <c r="B62" s="1" t="n">
        <v>45120.35368055556</v>
      </c>
      <c r="C62" s="1" t="n">
        <v>45904</v>
      </c>
      <c r="D62" t="inlineStr">
        <is>
          <t>VÄSTRA GÖTALANDS LÄN</t>
        </is>
      </c>
      <c r="E62" t="inlineStr">
        <is>
          <t>KUNGÄLV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45904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18851-2024</t>
        </is>
      </c>
      <c r="B64" s="1" t="n">
        <v>45426.69</v>
      </c>
      <c r="C64" s="1" t="n">
        <v>45904</v>
      </c>
      <c r="D64" t="inlineStr">
        <is>
          <t>VÄSTRA GÖTALANDS LÄN</t>
        </is>
      </c>
      <c r="E64" t="inlineStr">
        <is>
          <t>KUNGÄLV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45904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32847-2023</t>
        </is>
      </c>
      <c r="B66" s="1" t="n">
        <v>45124.61965277778</v>
      </c>
      <c r="C66" s="1" t="n">
        <v>45904</v>
      </c>
      <c r="D66" t="inlineStr">
        <is>
          <t>VÄSTRA GÖTALANDS LÄN</t>
        </is>
      </c>
      <c r="E66" t="inlineStr">
        <is>
          <t>KUNGÄLV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71835-2021</t>
        </is>
      </c>
      <c r="B67" s="1" t="n">
        <v>44543.62230324074</v>
      </c>
      <c r="C67" s="1" t="n">
        <v>45904</v>
      </c>
      <c r="D67" t="inlineStr">
        <is>
          <t>VÄSTRA GÖTALANDS LÄN</t>
        </is>
      </c>
      <c r="E67" t="inlineStr">
        <is>
          <t>KUNGÄLV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7505-2024</t>
        </is>
      </c>
      <c r="B68" s="1" t="n">
        <v>45347.93181712963</v>
      </c>
      <c r="C68" s="1" t="n">
        <v>45904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6082-2025</t>
        </is>
      </c>
      <c r="B69" s="1" t="n">
        <v>45697</v>
      </c>
      <c r="C69" s="1" t="n">
        <v>45904</v>
      </c>
      <c r="D69" t="inlineStr">
        <is>
          <t>VÄSTRA GÖTALANDS LÄN</t>
        </is>
      </c>
      <c r="E69" t="inlineStr">
        <is>
          <t>KUNGÄLV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45904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45904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25135-2025</t>
        </is>
      </c>
      <c r="B72" s="1" t="n">
        <v>45798</v>
      </c>
      <c r="C72" s="1" t="n">
        <v>45904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45904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53755-2020</t>
        </is>
      </c>
      <c r="B74" s="1" t="n">
        <v>44124</v>
      </c>
      <c r="C74" s="1" t="n">
        <v>45904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32391-2025</t>
        </is>
      </c>
      <c r="B75" s="1" t="n">
        <v>45837.90662037037</v>
      </c>
      <c r="C75" s="1" t="n">
        <v>45904</v>
      </c>
      <c r="D75" t="inlineStr">
        <is>
          <t>VÄSTRA GÖTALANDS LÄN</t>
        </is>
      </c>
      <c r="E75" t="inlineStr">
        <is>
          <t>KUNGÄLV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51724-2023</t>
        </is>
      </c>
      <c r="B76" s="1" t="n">
        <v>45222</v>
      </c>
      <c r="C76" s="1" t="n">
        <v>45904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32392-2025</t>
        </is>
      </c>
      <c r="B77" s="1" t="n">
        <v>45837.9102199074</v>
      </c>
      <c r="C77" s="1" t="n">
        <v>45904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33244-2021</t>
        </is>
      </c>
      <c r="B78" s="1" t="n">
        <v>44377</v>
      </c>
      <c r="C78" s="1" t="n">
        <v>45904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33493-2021</t>
        </is>
      </c>
      <c r="B79" s="1" t="n">
        <v>44377</v>
      </c>
      <c r="C79" s="1" t="n">
        <v>45904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34250-2025</t>
        </is>
      </c>
      <c r="B80" s="1" t="n">
        <v>45844</v>
      </c>
      <c r="C80" s="1" t="n">
        <v>45904</v>
      </c>
      <c r="D80" t="inlineStr">
        <is>
          <t>VÄSTRA GÖTALANDS LÄN</t>
        </is>
      </c>
      <c r="E80" t="inlineStr">
        <is>
          <t>KUNGÄLV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49985-2023</t>
        </is>
      </c>
      <c r="B81" s="1" t="n">
        <v>45215</v>
      </c>
      <c r="C81" s="1" t="n">
        <v>45904</v>
      </c>
      <c r="D81" t="inlineStr">
        <is>
          <t>VÄSTRA GÖTALANDS LÄN</t>
        </is>
      </c>
      <c r="E81" t="inlineStr">
        <is>
          <t>KUNGÄLV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661-2025</t>
        </is>
      </c>
      <c r="B82" s="1" t="n">
        <v>45664.68572916667</v>
      </c>
      <c r="C82" s="1" t="n">
        <v>45904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34244-2025</t>
        </is>
      </c>
      <c r="B83" s="1" t="n">
        <v>45844</v>
      </c>
      <c r="C83" s="1" t="n">
        <v>45904</v>
      </c>
      <c r="D83" t="inlineStr">
        <is>
          <t>VÄSTRA GÖTALANDS LÄN</t>
        </is>
      </c>
      <c r="E83" t="inlineStr">
        <is>
          <t>KUNGÄLV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24461-2023</t>
        </is>
      </c>
      <c r="B84" s="1" t="n">
        <v>45082</v>
      </c>
      <c r="C84" s="1" t="n">
        <v>45904</v>
      </c>
      <c r="D84" t="inlineStr">
        <is>
          <t>VÄSTRA GÖTALANDS LÄN</t>
        </is>
      </c>
      <c r="E84" t="inlineStr">
        <is>
          <t>KUNGÄLV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13880-2024</t>
        </is>
      </c>
      <c r="B85" s="1" t="n">
        <v>45391.59994212963</v>
      </c>
      <c r="C85" s="1" t="n">
        <v>45904</v>
      </c>
      <c r="D85" t="inlineStr">
        <is>
          <t>VÄSTRA GÖTALANDS LÄN</t>
        </is>
      </c>
      <c r="E85" t="inlineStr">
        <is>
          <t>KUNGÄLV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40951-2025</t>
        </is>
      </c>
      <c r="B86" s="1" t="n">
        <v>45897.66342592592</v>
      </c>
      <c r="C86" s="1" t="n">
        <v>45904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45904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25624-2025</t>
        </is>
      </c>
      <c r="B88" s="1" t="n">
        <v>45803.57885416667</v>
      </c>
      <c r="C88" s="1" t="n">
        <v>45904</v>
      </c>
      <c r="D88" t="inlineStr">
        <is>
          <t>VÄSTRA GÖTALANDS LÄN</t>
        </is>
      </c>
      <c r="E88" t="inlineStr">
        <is>
          <t>KUNGÄLV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50071-2023</t>
        </is>
      </c>
      <c r="B89" s="1" t="n">
        <v>45215</v>
      </c>
      <c r="C89" s="1" t="n">
        <v>45904</v>
      </c>
      <c r="D89" t="inlineStr">
        <is>
          <t>VÄSTRA GÖTALANDS LÄN</t>
        </is>
      </c>
      <c r="E89" t="inlineStr">
        <is>
          <t>KUNGÄLV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49981-2023</t>
        </is>
      </c>
      <c r="B90" s="1" t="n">
        <v>45215</v>
      </c>
      <c r="C90" s="1" t="n">
        <v>45904</v>
      </c>
      <c r="D90" t="inlineStr">
        <is>
          <t>VÄSTRA GÖTALANDS LÄN</t>
        </is>
      </c>
      <c r="E90" t="inlineStr">
        <is>
          <t>KUNGÄLV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56782-2022</t>
        </is>
      </c>
      <c r="B91" s="1" t="n">
        <v>44894.39475694444</v>
      </c>
      <c r="C91" s="1" t="n">
        <v>45904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45324.51049768519</v>
      </c>
      <c r="C92" s="1" t="n">
        <v>45904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1995-2024</t>
        </is>
      </c>
      <c r="B93" s="1" t="n">
        <v>45308</v>
      </c>
      <c r="C93" s="1" t="n">
        <v>45904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23457-2024</t>
        </is>
      </c>
      <c r="B94" s="1" t="n">
        <v>45453.65128472223</v>
      </c>
      <c r="C94" s="1" t="n">
        <v>45904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41765-2021</t>
        </is>
      </c>
      <c r="B95" s="1" t="n">
        <v>44425</v>
      </c>
      <c r="C95" s="1" t="n">
        <v>45904</v>
      </c>
      <c r="D95" t="inlineStr">
        <is>
          <t>VÄSTRA GÖTALANDS LÄN</t>
        </is>
      </c>
      <c r="E95" t="inlineStr">
        <is>
          <t>KUNGÄLV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30170-2022</t>
        </is>
      </c>
      <c r="B96" s="1" t="n">
        <v>44757</v>
      </c>
      <c r="C96" s="1" t="n">
        <v>45904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10810-2023</t>
        </is>
      </c>
      <c r="B97" s="1" t="n">
        <v>44989.75795138889</v>
      </c>
      <c r="C97" s="1" t="n">
        <v>45904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6096-2025</t>
        </is>
      </c>
      <c r="B98" s="1" t="n">
        <v>45697</v>
      </c>
      <c r="C98" s="1" t="n">
        <v>45904</v>
      </c>
      <c r="D98" t="inlineStr">
        <is>
          <t>VÄSTRA GÖTALANDS LÄN</t>
        </is>
      </c>
      <c r="E98" t="inlineStr">
        <is>
          <t>KUNGÄLV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21389-2023</t>
        </is>
      </c>
      <c r="B99" s="1" t="n">
        <v>45063</v>
      </c>
      <c r="C99" s="1" t="n">
        <v>45904</v>
      </c>
      <c r="D99" t="inlineStr">
        <is>
          <t>VÄSTRA GÖTALANDS LÄN</t>
        </is>
      </c>
      <c r="E99" t="inlineStr">
        <is>
          <t>KUNGÄLV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4262-2024</t>
        </is>
      </c>
      <c r="B100" s="1" t="n">
        <v>45324.50902777778</v>
      </c>
      <c r="C100" s="1" t="n">
        <v>45904</v>
      </c>
      <c r="D100" t="inlineStr">
        <is>
          <t>VÄSTRA GÖTALANDS LÄN</t>
        </is>
      </c>
      <c r="E100" t="inlineStr">
        <is>
          <t>KUNGÄLV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4204-2024</t>
        </is>
      </c>
      <c r="B101" s="1" t="n">
        <v>45324.36422453704</v>
      </c>
      <c r="C101" s="1" t="n">
        <v>45904</v>
      </c>
      <c r="D101" t="inlineStr">
        <is>
          <t>VÄSTRA GÖTALANDS LÄN</t>
        </is>
      </c>
      <c r="E101" t="inlineStr">
        <is>
          <t>KUNGÄLV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27463-2024</t>
        </is>
      </c>
      <c r="B102" s="1" t="n">
        <v>45474.45266203704</v>
      </c>
      <c r="C102" s="1" t="n">
        <v>45904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55830-2024</t>
        </is>
      </c>
      <c r="B103" s="1" t="n">
        <v>45623.48478009259</v>
      </c>
      <c r="C103" s="1" t="n">
        <v>45904</v>
      </c>
      <c r="D103" t="inlineStr">
        <is>
          <t>VÄSTRA GÖTALANDS LÄN</t>
        </is>
      </c>
      <c r="E103" t="inlineStr">
        <is>
          <t>KUNGÄLV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6041-2025</t>
        </is>
      </c>
      <c r="B104" s="1" t="n">
        <v>45695.66287037037</v>
      </c>
      <c r="C104" s="1" t="n">
        <v>45904</v>
      </c>
      <c r="D104" t="inlineStr">
        <is>
          <t>VÄSTRA GÖTALANDS LÄN</t>
        </is>
      </c>
      <c r="E104" t="inlineStr">
        <is>
          <t>KUNGÄLV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45904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62979-2023</t>
        </is>
      </c>
      <c r="B106" s="1" t="n">
        <v>45271</v>
      </c>
      <c r="C106" s="1" t="n">
        <v>45904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13529-2024</t>
        </is>
      </c>
      <c r="B107" s="1" t="n">
        <v>45387.84504629629</v>
      </c>
      <c r="C107" s="1" t="n">
        <v>45904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63319-2021</t>
        </is>
      </c>
      <c r="B108" s="1" t="n">
        <v>44508.45226851852</v>
      </c>
      <c r="C108" s="1" t="n">
        <v>45904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44176-2023</t>
        </is>
      </c>
      <c r="B109" s="1" t="n">
        <v>45188</v>
      </c>
      <c r="C109" s="1" t="n">
        <v>45904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2025-09-04T17:42:15Z</dcterms:created>
  <dcterms:modified xmlns:dcterms="http://purl.org/dc/terms/" xmlns:xsi="http://www.w3.org/2001/XMLSchema-instance" xsi:type="dcterms:W3CDTF">2025-09-04T17:42:15Z</dcterms:modified>
</cp:coreProperties>
</file>