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46266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46266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46266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46266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46266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46266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46266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46266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46266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53008-2025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46266</v>
      </c>
      <c r="F12" t="inlineStr">
        <is>
          <t>VÄSTRA GÖTALANDS LÄN</t>
        </is>
      </c>
      <c r="G12" t="inlineStr">
        <is>
          <t>KUNGÄLV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Kambräken
Västlig hakmossa
Spillkråka</t>
        </is>
      </c>
      <c r="W12">
        <f>HYPERLINK("https://klasma.github.io/Logging_1482/artfynd/A 53008-2025 artfynd.xlsx", "A 53008-2025")</f>
        <v/>
      </c>
      <c r="X12">
        <f>HYPERLINK("https://klasma.github.io/Logging_1482/kartor/A 53008-2025 karta.png", "A 53008-2025")</f>
        <v/>
      </c>
      <c r="Y12">
        <f>HYPERLINK("https://klasma.github.io/Logging_1482/kartor_geotiff/A 53008-2025 georefererad karta.tif", "A 53008-2025")</f>
        <v/>
      </c>
      <c r="AA12">
        <f>HYPERLINK("https://klasma.github.io/Logging_1482/klagomål/A 53008-2025 FSC-klagomål.docx", "A 53008-2025")</f>
        <v/>
      </c>
      <c r="AB12">
        <f>HYPERLINK("https://klasma.github.io/Logging_1482/klagomålsmail/A 53008-2025 FSC-klagomål mail.docx", "A 53008-2025")</f>
        <v/>
      </c>
      <c r="AC12">
        <f>HYPERLINK("https://klasma.github.io/Logging_1482/tillsyn/A 53008-2025 tillsynsbegäran.docx", "A 53008-2025")</f>
        <v/>
      </c>
      <c r="AD12">
        <f>HYPERLINK("https://klasma.github.io/Logging_1482/tillsynsmail/A 53008-2025 tillsynsbegäran mail.docx", "A 53008-2025")</f>
        <v/>
      </c>
      <c r="AE12">
        <f>HYPERLINK("https://klasma.github.io/Logging_1482/fåglar/A 53008-2025 prioriterade fågelarter.docx", "A 53008-2025")</f>
        <v/>
      </c>
    </row>
    <row r="13" ht="15" customHeight="1">
      <c r="A13" t="inlineStr">
        <is>
          <t>A 30872-2026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46266</v>
      </c>
      <c r="F13" t="inlineStr">
        <is>
          <t>VÄSTRA GÖTALANDS LÄN</t>
        </is>
      </c>
      <c r="G13" t="inlineStr">
        <is>
          <t>KUNGÄLV</t>
        </is>
      </c>
      <c r="I13" t="n">
        <v>2.4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Platt fjädermossa
Spillkråka</t>
        </is>
      </c>
      <c r="W13">
        <f>HYPERLINK("https://klasma.github.io/Logging_1482/artfynd/A 30872-2026 artfynd.xlsx", "A 30872-2026")</f>
        <v/>
      </c>
      <c r="X13">
        <f>HYPERLINK("https://klasma.github.io/Logging_1482/kartor/A 30872-2026 karta.png", "A 30872-2026")</f>
        <v/>
      </c>
      <c r="Y13">
        <f>HYPERLINK("https://klasma.github.io/Logging_1482/kartor_geotiff/A 30872-2026 georefererad karta.tif", "A 30872-2026")</f>
        <v/>
      </c>
      <c r="AA13">
        <f>HYPERLINK("https://klasma.github.io/Logging_1482/klagomål/A 30872-2026 FSC-klagomål.docx", "A 30872-2026")</f>
        <v/>
      </c>
      <c r="AB13">
        <f>HYPERLINK("https://klasma.github.io/Logging_1482/klagomålsmail/A 30872-2026 FSC-klagomål mail.docx", "A 30872-2026")</f>
        <v/>
      </c>
      <c r="AC13">
        <f>HYPERLINK("https://klasma.github.io/Logging_1482/tillsyn/A 30872-2026 tillsynsbegäran.docx", "A 30872-2026")</f>
        <v/>
      </c>
      <c r="AD13">
        <f>HYPERLINK("https://klasma.github.io/Logging_1482/tillsynsmail/A 30872-2026 tillsynsbegäran mail.docx", "A 30872-2026")</f>
        <v/>
      </c>
      <c r="AE13">
        <f>HYPERLINK("https://klasma.github.io/Logging_1482/fåglar/A 30872-2026 prioriterade fågelarter.docx", "A 30872-2026")</f>
        <v/>
      </c>
    </row>
    <row r="14" ht="15" customHeight="1">
      <c r="A14" t="inlineStr">
        <is>
          <t>A 5631-2024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46266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Vanlig groda
Fläcknycklar</t>
        </is>
      </c>
      <c r="W14">
        <f>HYPERLINK("https://klasma.github.io/Logging_1482/artfynd/A 5631-2024 artfynd.xlsx", "A 5631-2024")</f>
        <v/>
      </c>
      <c r="X14">
        <f>HYPERLINK("https://klasma.github.io/Logging_1482/kartor/A 5631-2024 karta.png", "A 5631-2024")</f>
        <v/>
      </c>
      <c r="Y14">
        <f>HYPERLINK("https://klasma.github.io/Logging_1482/kartor_geotiff/A 5631-2024 georefererad karta.tif", "A 5631-2024")</f>
        <v/>
      </c>
      <c r="AA14">
        <f>HYPERLINK("https://klasma.github.io/Logging_1482/klagomål/A 5631-2024 FSC-klagomål.docx", "A 5631-2024")</f>
        <v/>
      </c>
      <c r="AB14">
        <f>HYPERLINK("https://klasma.github.io/Logging_1482/klagomålsmail/A 5631-2024 FSC-klagomål mail.docx", "A 5631-2024")</f>
        <v/>
      </c>
      <c r="AC14">
        <f>HYPERLINK("https://klasma.github.io/Logging_1482/tillsyn/A 5631-2024 tillsynsbegäran.docx", "A 5631-2024")</f>
        <v/>
      </c>
      <c r="AD14">
        <f>HYPERLINK("https://klasma.github.io/Logging_1482/tillsynsmail/A 5631-2024 tillsynsbegäran mail.docx", "A 5631-2024")</f>
        <v/>
      </c>
    </row>
    <row r="15" ht="15" customHeight="1">
      <c r="A15" t="inlineStr">
        <is>
          <t>A 5637-2024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46266</v>
      </c>
      <c r="F15" t="inlineStr">
        <is>
          <t>VÄSTRA GÖTALANDS LÄN</t>
        </is>
      </c>
      <c r="G15" t="inlineStr">
        <is>
          <t>KUNGÄLV</t>
        </is>
      </c>
      <c r="I15" t="n">
        <v>1.8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Klofibbla
Åkerrödtoppa</t>
        </is>
      </c>
      <c r="W15">
        <f>HYPERLINK("https://klasma.github.io/Logging_1482/artfynd/A 5637-2024 artfynd.xlsx", "A 5637-2024")</f>
        <v/>
      </c>
      <c r="X15">
        <f>HYPERLINK("https://klasma.github.io/Logging_1482/kartor/A 5637-2024 karta.png", "A 5637-2024")</f>
        <v/>
      </c>
      <c r="Y15">
        <f>HYPERLINK("https://klasma.github.io/Logging_1482/kartor_geotiff/A 5637-2024 georefererad karta.tif", "A 5637-2024")</f>
        <v/>
      </c>
      <c r="AA15">
        <f>HYPERLINK("https://klasma.github.io/Logging_1482/klagomål/A 5637-2024 FSC-klagomål.docx", "A 5637-2024")</f>
        <v/>
      </c>
      <c r="AB15">
        <f>HYPERLINK("https://klasma.github.io/Logging_1482/klagomålsmail/A 5637-2024 FSC-klagomål mail.docx", "A 5637-2024")</f>
        <v/>
      </c>
      <c r="AC15">
        <f>HYPERLINK("https://klasma.github.io/Logging_1482/tillsyn/A 5637-2024 tillsynsbegäran.docx", "A 5637-2024")</f>
        <v/>
      </c>
      <c r="AD15">
        <f>HYPERLINK("https://klasma.github.io/Logging_1482/tillsynsmail/A 5637-2024 tillsynsbegäran mail.docx", "A 5637-2024")</f>
        <v/>
      </c>
    </row>
    <row r="16" ht="15" customHeight="1">
      <c r="A16" t="inlineStr">
        <is>
          <t>A 56394-2025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45974</v>
      </c>
      <c r="E16" s="1" t="n">
        <v>46266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Revlummer</t>
        </is>
      </c>
      <c r="W16">
        <f>HYPERLINK("https://klasma.github.io/Logging_1482/artfynd/A 56394-2025 artfynd.xlsx", "A 56394-2025")</f>
        <v/>
      </c>
      <c r="X16">
        <f>HYPERLINK("https://klasma.github.io/Logging_1482/kartor/A 56394-2025 karta.png", "A 56394-2025")</f>
        <v/>
      </c>
      <c r="Y16">
        <f>HYPERLINK("https://klasma.github.io/Logging_1482/kartor_geotiff/A 56394-2025 georefererad karta.tif", "A 56394-2025")</f>
        <v/>
      </c>
      <c r="AA16">
        <f>HYPERLINK("https://klasma.github.io/Logging_1482/klagomål/A 56394-2025 FSC-klagomål.docx", "A 56394-2025")</f>
        <v/>
      </c>
      <c r="AB16">
        <f>HYPERLINK("https://klasma.github.io/Logging_1482/klagomålsmail/A 56394-2025 FSC-klagomål mail.docx", "A 56394-2025")</f>
        <v/>
      </c>
      <c r="AC16">
        <f>HYPERLINK("https://klasma.github.io/Logging_1482/tillsyn/A 56394-2025 tillsynsbegäran.docx", "A 56394-2025")</f>
        <v/>
      </c>
      <c r="AD16">
        <f>HYPERLINK("https://klasma.github.io/Logging_1482/tillsynsmail/A 56394-2025 tillsynsbegäran mail.docx", "A 56394-2025")</f>
        <v/>
      </c>
    </row>
    <row r="17" ht="15" customHeight="1">
      <c r="A17" t="inlineStr">
        <is>
          <t>A 57116-2025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46266</v>
      </c>
      <c r="F17" t="inlineStr">
        <is>
          <t>VÄSTRA GÖTALANDS LÄN</t>
        </is>
      </c>
      <c r="G17" t="inlineStr">
        <is>
          <t>KUNGÄLV</t>
        </is>
      </c>
      <c r="I17" t="n">
        <v>3.5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Västlig hakmossa
Spillkråka</t>
        </is>
      </c>
      <c r="W17">
        <f>HYPERLINK("https://klasma.github.io/Logging_1482/artfynd/A 57116-2025 artfynd.xlsx", "A 57116-2025")</f>
        <v/>
      </c>
      <c r="X17">
        <f>HYPERLINK("https://klasma.github.io/Logging_1482/kartor/A 57116-2025 karta.png", "A 57116-2025")</f>
        <v/>
      </c>
      <c r="Y17">
        <f>HYPERLINK("https://klasma.github.io/Logging_1482/kartor_geotiff/A 57116-2025 georefererad karta.tif", "A 57116-2025")</f>
        <v/>
      </c>
      <c r="AA17">
        <f>HYPERLINK("https://klasma.github.io/Logging_1482/klagomål/A 57116-2025 FSC-klagomål.docx", "A 57116-2025")</f>
        <v/>
      </c>
      <c r="AB17">
        <f>HYPERLINK("https://klasma.github.io/Logging_1482/klagomålsmail/A 57116-2025 FSC-klagomål mail.docx", "A 57116-2025")</f>
        <v/>
      </c>
      <c r="AC17">
        <f>HYPERLINK("https://klasma.github.io/Logging_1482/tillsyn/A 57116-2025 tillsynsbegäran.docx", "A 57116-2025")</f>
        <v/>
      </c>
      <c r="AD17">
        <f>HYPERLINK("https://klasma.github.io/Logging_1482/tillsynsmail/A 57116-2025 tillsynsbegäran mail.docx", "A 57116-2025")</f>
        <v/>
      </c>
      <c r="AE17">
        <f>HYPERLINK("https://klasma.github.io/Logging_1482/fåglar/A 57116-2025 prioriterade fågelarter.docx", "A 57116-2025")</f>
        <v/>
      </c>
    </row>
    <row r="18" ht="15" customHeight="1">
      <c r="A18" t="inlineStr">
        <is>
          <t>A 30860-2026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46266</v>
      </c>
      <c r="F18" t="inlineStr">
        <is>
          <t>VÄSTRA GÖTALANDS LÄN</t>
        </is>
      </c>
      <c r="G18" t="inlineStr">
        <is>
          <t>KUNGÄLV</t>
        </is>
      </c>
      <c r="I18" t="n">
        <v>1.7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Grönsångare
Västlig hakmossa</t>
        </is>
      </c>
      <c r="W18">
        <f>HYPERLINK("https://klasma.github.io/Logging_1482/artfynd/A 30860-2026 artfynd.xlsx", "A 30860-2026")</f>
        <v/>
      </c>
      <c r="X18">
        <f>HYPERLINK("https://klasma.github.io/Logging_1482/kartor/A 30860-2026 karta.png", "A 30860-2026")</f>
        <v/>
      </c>
      <c r="Y18">
        <f>HYPERLINK("https://klasma.github.io/Logging_1482/kartor_geotiff/A 30860-2026 georefererad karta.tif", "A 30860-2026")</f>
        <v/>
      </c>
      <c r="AA18">
        <f>HYPERLINK("https://klasma.github.io/Logging_1482/klagomål/A 30860-2026 FSC-klagomål.docx", "A 30860-2026")</f>
        <v/>
      </c>
      <c r="AB18">
        <f>HYPERLINK("https://klasma.github.io/Logging_1482/klagomålsmail/A 30860-2026 FSC-klagomål mail.docx", "A 30860-2026")</f>
        <v/>
      </c>
      <c r="AC18">
        <f>HYPERLINK("https://klasma.github.io/Logging_1482/tillsyn/A 30860-2026 tillsynsbegäran.docx", "A 30860-2026")</f>
        <v/>
      </c>
      <c r="AD18">
        <f>HYPERLINK("https://klasma.github.io/Logging_1482/tillsynsmail/A 30860-2026 tillsynsbegäran mail.docx", "A 30860-2026")</f>
        <v/>
      </c>
      <c r="AE18">
        <f>HYPERLINK("https://klasma.github.io/Logging_1482/fåglar/A 30860-2026 prioriterade fågelarter.docx", "A 30860-2026")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46266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6082-2025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45697</v>
      </c>
      <c r="E20" s="1" t="n">
        <v>46266</v>
      </c>
      <c r="F20" t="inlineStr">
        <is>
          <t>VÄSTRA GÖTALANDS LÄN</t>
        </is>
      </c>
      <c r="G20" t="inlineStr">
        <is>
          <t>KUNGÄLV</t>
        </is>
      </c>
      <c r="I20" t="n">
        <v>2.8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HYPERLINK("https://klasma.github.io/Logging_1482/artfynd/A 6082-2025 artfynd.xlsx", "A 6082-2025")</f>
        <v/>
      </c>
      <c r="X20">
        <f>HYPERLINK("https://klasma.github.io/Logging_1482/kartor/A 6082-2025 karta.png", "A 6082-2025")</f>
        <v/>
      </c>
      <c r="Y20">
        <f>HYPERLINK("https://klasma.github.io/Logging_1482/kartor_geotiff/A 6082-2025 georefererad karta.tif", "A 6082-2025")</f>
        <v/>
      </c>
      <c r="AA20">
        <f>HYPERLINK("https://klasma.github.io/Logging_1482/klagomål/A 6082-2025 FSC-klagomål.docx", "A 6082-2025")</f>
        <v/>
      </c>
      <c r="AB20">
        <f>HYPERLINK("https://klasma.github.io/Logging_1482/klagomålsmail/A 6082-2025 FSC-klagomål mail.docx", "A 6082-2025")</f>
        <v/>
      </c>
      <c r="AC20">
        <f>HYPERLINK("https://klasma.github.io/Logging_1482/tillsyn/A 6082-2025 tillsynsbegäran.docx", "A 6082-2025")</f>
        <v/>
      </c>
      <c r="AD20">
        <f>HYPERLINK("https://klasma.github.io/Logging_1482/tillsynsmail/A 6082-2025 tillsynsbegäran mail.docx", "A 6082-2025")</f>
        <v/>
      </c>
      <c r="AE20">
        <f>HYPERLINK("https://klasma.github.io/Logging_1482/fåglar/A 6082-2025 prioriterade fågelarter.docx", "A 6082-2025")</f>
        <v/>
      </c>
    </row>
    <row r="21" ht="15" customHeight="1">
      <c r="A21" t="inlineStr">
        <is>
          <t>A 23704-2024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45454</v>
      </c>
      <c r="E21" s="1" t="n">
        <v>46266</v>
      </c>
      <c r="F21" t="inlineStr">
        <is>
          <t>VÄSTRA GÖTALANDS LÄN</t>
        </is>
      </c>
      <c r="G21" t="inlineStr">
        <is>
          <t>KUNGÄLV</t>
        </is>
      </c>
      <c r="I21" t="n">
        <v>4.9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1</v>
      </c>
      <c r="V21" s="2" t="inlineStr">
        <is>
          <t>Hedjohannesört</t>
        </is>
      </c>
      <c r="W21">
        <f>HYPERLINK("https://klasma.github.io/Logging_1482/artfynd/A 23704-2024 artfynd.xlsx", "A 23704-2024")</f>
        <v/>
      </c>
      <c r="X21">
        <f>HYPERLINK("https://klasma.github.io/Logging_1482/kartor/A 23704-2024 karta.png", "A 23704-2024")</f>
        <v/>
      </c>
      <c r="Y21">
        <f>HYPERLINK("https://klasma.github.io/Logging_1482/kartor_geotiff/A 23704-2024 georefererad karta.tif", "A 23704-2024")</f>
        <v/>
      </c>
      <c r="AA21">
        <f>HYPERLINK("https://klasma.github.io/Logging_1482/klagomål/A 23704-2024 FSC-klagomål.docx", "A 23704-2024")</f>
        <v/>
      </c>
      <c r="AB21">
        <f>HYPERLINK("https://klasma.github.io/Logging_1482/klagomålsmail/A 23704-2024 FSC-klagomål mail.docx", "A 23704-2024")</f>
        <v/>
      </c>
      <c r="AC21">
        <f>HYPERLINK("https://klasma.github.io/Logging_1482/tillsyn/A 23704-2024 tillsynsbegäran.docx", "A 23704-2024")</f>
        <v/>
      </c>
      <c r="AD21">
        <f>HYPERLINK("https://klasma.github.io/Logging_1482/tillsynsmail/A 23704-2024 tillsynsbegäran mail.docx", "A 23704-2024")</f>
        <v/>
      </c>
    </row>
    <row r="22" ht="15" customHeight="1">
      <c r="A22" t="inlineStr">
        <is>
          <t>A 49988-2023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46266</v>
      </c>
      <c r="F22" t="inlineStr">
        <is>
          <t>VÄSTRA GÖTALANDS LÄN</t>
        </is>
      </c>
      <c r="G22" t="inlineStr">
        <is>
          <t>KUNGÄLV</t>
        </is>
      </c>
      <c r="I22" t="n">
        <v>2.3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HYPERLINK("https://klasma.github.io/Logging_1482/artfynd/A 49988-2023 artfynd.xlsx", "A 49988-2023")</f>
        <v/>
      </c>
      <c r="X22">
        <f>HYPERLINK("https://klasma.github.io/Logging_1482/kartor/A 49988-2023 karta.png", "A 49988-2023")</f>
        <v/>
      </c>
      <c r="Y22">
        <f>HYPERLINK("https://klasma.github.io/Logging_1482/kartor_geotiff/A 49988-2023 georefererad karta.tif", "A 49988-2023")</f>
        <v/>
      </c>
      <c r="AA22">
        <f>HYPERLINK("https://klasma.github.io/Logging_1482/klagomål/A 49988-2023 FSC-klagomål.docx", "A 49988-2023")</f>
        <v/>
      </c>
      <c r="AB22">
        <f>HYPERLINK("https://klasma.github.io/Logging_1482/klagomålsmail/A 49988-2023 FSC-klagomål mail.docx", "A 49988-2023")</f>
        <v/>
      </c>
      <c r="AC22">
        <f>HYPERLINK("https://klasma.github.io/Logging_1482/tillsyn/A 49988-2023 tillsynsbegäran.docx", "A 49988-2023")</f>
        <v/>
      </c>
      <c r="AD22">
        <f>HYPERLINK("https://klasma.github.io/Logging_1482/tillsynsmail/A 49988-2023 tillsynsbegäran mail.docx", "A 49988-2023")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46266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46266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46266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46266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46266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46266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46266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46266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46266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46266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44450</v>
      </c>
      <c r="E33" s="1" t="n">
        <v>46266</v>
      </c>
      <c r="F33" t="inlineStr">
        <is>
          <t>VÄSTRA GÖTALANDS LÄN</t>
        </is>
      </c>
      <c r="G33" t="inlineStr">
        <is>
          <t>KUNGÄLV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46266</v>
      </c>
      <c r="F34" t="inlineStr">
        <is>
          <t>VÄSTRA GÖTALANDS LÄN</t>
        </is>
      </c>
      <c r="G34" t="inlineStr">
        <is>
          <t>KUNGÄLV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46266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46266</v>
      </c>
      <c r="F36" t="inlineStr">
        <is>
          <t>VÄSTRA GÖTALANDS LÄN</t>
        </is>
      </c>
      <c r="G36" t="inlineStr">
        <is>
          <t>KUNGÄLV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29223-2024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45482</v>
      </c>
      <c r="E37" s="1" t="n">
        <v>46266</v>
      </c>
      <c r="F37" t="inlineStr">
        <is>
          <t>VÄSTRA GÖTALANDS LÄN</t>
        </is>
      </c>
      <c r="G37" t="inlineStr">
        <is>
          <t>KUNGÄLV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46266</v>
      </c>
      <c r="F38" t="inlineStr">
        <is>
          <t>VÄSTRA GÖTALANDS LÄN</t>
        </is>
      </c>
      <c r="G38" t="inlineStr">
        <is>
          <t>KUNGÄLV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10679-2025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45721</v>
      </c>
      <c r="E39" s="1" t="n">
        <v>46266</v>
      </c>
      <c r="F39" t="inlineStr">
        <is>
          <t>VÄSTRA GÖTALANDS LÄN</t>
        </is>
      </c>
      <c r="G39" t="inlineStr">
        <is>
          <t>KUNGÄLV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45726</v>
      </c>
      <c r="E40" s="1" t="n">
        <v>46266</v>
      </c>
      <c r="F40" t="inlineStr">
        <is>
          <t>VÄSTRA GÖTALANDS LÄN</t>
        </is>
      </c>
      <c r="G40" t="inlineStr">
        <is>
          <t>KUNGÄLV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44624</v>
      </c>
      <c r="E41" s="1" t="n">
        <v>46266</v>
      </c>
      <c r="F41" t="inlineStr">
        <is>
          <t>VÄSTRA GÖTALANDS LÄN</t>
        </is>
      </c>
      <c r="G41" t="inlineStr">
        <is>
          <t>KUNGÄLV</t>
        </is>
      </c>
      <c r="I41" t="n">
        <v>13.3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46266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44558</v>
      </c>
      <c r="E43" s="1" t="n">
        <v>46266</v>
      </c>
      <c r="F43" t="inlineStr">
        <is>
          <t>VÄSTRA GÖTALANDS LÄN</t>
        </is>
      </c>
      <c r="G43" t="inlineStr">
        <is>
          <t>KUNGÄLV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39714-2024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45552</v>
      </c>
      <c r="E44" s="1" t="n">
        <v>46266</v>
      </c>
      <c r="F44" t="inlineStr">
        <is>
          <t>VÄSTRA GÖTALANDS LÄN</t>
        </is>
      </c>
      <c r="G44" t="inlineStr">
        <is>
          <t>KUNGÄLV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61417-2022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44916</v>
      </c>
      <c r="E45" s="1" t="n">
        <v>46266</v>
      </c>
      <c r="F45" t="inlineStr">
        <is>
          <t>VÄSTRA GÖTALANDS LÄN</t>
        </is>
      </c>
      <c r="G45" t="inlineStr">
        <is>
          <t>KUNGÄLV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46266</v>
      </c>
      <c r="F46" t="inlineStr">
        <is>
          <t>VÄSTRA GÖTALANDS LÄN</t>
        </is>
      </c>
      <c r="G46" t="inlineStr">
        <is>
          <t>KUNGÄLV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46266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46266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46266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46266</v>
      </c>
      <c r="F50" t="inlineStr">
        <is>
          <t>VÄSTRA GÖTALANDS LÄN</t>
        </is>
      </c>
      <c r="G50" t="inlineStr">
        <is>
          <t>KUNGÄLV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5705-2025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45694</v>
      </c>
      <c r="E51" s="1" t="n">
        <v>46266</v>
      </c>
      <c r="F51" t="inlineStr">
        <is>
          <t>VÄSTRA GÖTALANDS LÄN</t>
        </is>
      </c>
      <c r="G51" t="inlineStr">
        <is>
          <t>KUNGÄLV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45347</v>
      </c>
      <c r="E52" s="1" t="n">
        <v>46266</v>
      </c>
      <c r="F52" t="inlineStr">
        <is>
          <t>VÄSTRA GÖTALANDS LÄN</t>
        </is>
      </c>
      <c r="G52" t="inlineStr">
        <is>
          <t>KUNGÄLV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46266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46266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46266</v>
      </c>
      <c r="F55" t="inlineStr">
        <is>
          <t>VÄSTRA GÖTALANDS LÄN</t>
        </is>
      </c>
      <c r="G55" t="inlineStr">
        <is>
          <t>KUNGÄLV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46266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44975</v>
      </c>
      <c r="E57" s="1" t="n">
        <v>46266</v>
      </c>
      <c r="F57" t="inlineStr">
        <is>
          <t>VÄSTRA GÖTALANDS LÄN</t>
        </is>
      </c>
      <c r="G57" t="inlineStr">
        <is>
          <t>KUNGÄLV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45758</v>
      </c>
      <c r="E58" s="1" t="n">
        <v>46266</v>
      </c>
      <c r="F58" t="inlineStr">
        <is>
          <t>VÄSTRA GÖTALANDS LÄN</t>
        </is>
      </c>
      <c r="G58" t="inlineStr">
        <is>
          <t>KUNGÄLV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49981-2023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46266</v>
      </c>
      <c r="F59" t="inlineStr">
        <is>
          <t>VÄSTRA GÖTALANDS LÄN</t>
        </is>
      </c>
      <c r="G59" t="inlineStr">
        <is>
          <t>KUNGÄLV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44894</v>
      </c>
      <c r="E60" s="1" t="n">
        <v>46266</v>
      </c>
      <c r="F60" t="inlineStr">
        <is>
          <t>VÄSTRA GÖTALANDS LÄN</t>
        </is>
      </c>
      <c r="G60" t="inlineStr">
        <is>
          <t>KUNGÄLV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46266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44757</v>
      </c>
      <c r="E62" s="1" t="n">
        <v>46266</v>
      </c>
      <c r="F62" t="inlineStr">
        <is>
          <t>VÄSTRA GÖTALANDS LÄN</t>
        </is>
      </c>
      <c r="G62" t="inlineStr">
        <is>
          <t>KUNGÄLV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44989</v>
      </c>
      <c r="E63" s="1" t="n">
        <v>46266</v>
      </c>
      <c r="F63" t="inlineStr">
        <is>
          <t>VÄSTRA GÖTALANDS LÄN</t>
        </is>
      </c>
      <c r="G63" t="inlineStr">
        <is>
          <t>KUNGÄLV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45324</v>
      </c>
      <c r="E64" s="1" t="n">
        <v>46266</v>
      </c>
      <c r="F64" t="inlineStr">
        <is>
          <t>VÄSTRA GÖTALANDS LÄN</t>
        </is>
      </c>
      <c r="G64" t="inlineStr">
        <is>
          <t>KUNGÄLV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46266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46266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46266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62979-2023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45271</v>
      </c>
      <c r="E68" s="1" t="n">
        <v>46266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6946-2026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46057</v>
      </c>
      <c r="E69" s="1" t="n">
        <v>46266</v>
      </c>
      <c r="F69" t="inlineStr">
        <is>
          <t>VÄSTRA GÖTALANDS LÄN</t>
        </is>
      </c>
      <c r="G69" t="inlineStr">
        <is>
          <t>KUNGÄLV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44176-2023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45188</v>
      </c>
      <c r="E70" s="1" t="n">
        <v>46266</v>
      </c>
      <c r="F70" t="inlineStr">
        <is>
          <t>VÄSTRA GÖTALANDS LÄN</t>
        </is>
      </c>
      <c r="G70" t="inlineStr">
        <is>
          <t>KUNGÄLV</t>
        </is>
      </c>
      <c r="I70" t="n">
        <v>7.1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26812-2024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45470</v>
      </c>
      <c r="E71" s="1" t="n">
        <v>46266</v>
      </c>
      <c r="F71" t="inlineStr">
        <is>
          <t>VÄSTRA GÖTALANDS LÄN</t>
        </is>
      </c>
      <c r="G71" t="inlineStr">
        <is>
          <t>KUNGÄLV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46266</v>
      </c>
      <c r="F72" t="inlineStr">
        <is>
          <t>VÄSTRA GÖTALANDS LÄN</t>
        </is>
      </c>
      <c r="G72" t="inlineStr">
        <is>
          <t>KUNGÄLV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29801-2022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46266</v>
      </c>
      <c r="F73" t="inlineStr">
        <is>
          <t>VÄSTRA GÖTALANDS LÄN</t>
        </is>
      </c>
      <c r="G73" t="inlineStr">
        <is>
          <t>KUNGÄLV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45426</v>
      </c>
      <c r="E74" s="1" t="n">
        <v>46266</v>
      </c>
      <c r="F74" t="inlineStr">
        <is>
          <t>VÄSTRA GÖTALANDS LÄN</t>
        </is>
      </c>
      <c r="G74" t="inlineStr">
        <is>
          <t>KUNGÄLV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13990-2026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46098</v>
      </c>
      <c r="E75" s="1" t="n">
        <v>46266</v>
      </c>
      <c r="F75" t="inlineStr">
        <is>
          <t>VÄSTRA GÖTALANDS LÄN</t>
        </is>
      </c>
      <c r="G75" t="inlineStr">
        <is>
          <t>KUNGÄLV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46266</v>
      </c>
      <c r="F76" t="inlineStr">
        <is>
          <t>VÄSTRA GÖTALANDS LÄN</t>
        </is>
      </c>
      <c r="G76" t="inlineStr">
        <is>
          <t>KUNGÄLV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46266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44846</v>
      </c>
      <c r="E78" s="1" t="n">
        <v>46266</v>
      </c>
      <c r="F78" t="inlineStr">
        <is>
          <t>VÄSTRA GÖTALANDS LÄN</t>
        </is>
      </c>
      <c r="G78" t="inlineStr">
        <is>
          <t>KUNGÄLV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46266</v>
      </c>
      <c r="F79" t="inlineStr">
        <is>
          <t>VÄSTRA GÖTALANDS LÄN</t>
        </is>
      </c>
      <c r="G79" t="inlineStr">
        <is>
          <t>KUNGÄLV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46266</v>
      </c>
      <c r="F80" t="inlineStr">
        <is>
          <t>VÄSTRA GÖTALANDS LÄN</t>
        </is>
      </c>
      <c r="G80" t="inlineStr">
        <is>
          <t>KUNGÄLV</t>
        </is>
      </c>
      <c r="I80" t="n">
        <v>8.199999999999999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45426</v>
      </c>
      <c r="E81" s="1" t="n">
        <v>46266</v>
      </c>
      <c r="F81" t="inlineStr">
        <is>
          <t>VÄSTRA GÖTALANDS LÄN</t>
        </is>
      </c>
      <c r="G81" t="inlineStr">
        <is>
          <t>KUNGÄLV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45215</v>
      </c>
      <c r="E82" s="1" t="n">
        <v>46266</v>
      </c>
      <c r="F82" t="inlineStr">
        <is>
          <t>VÄSTRA GÖTALANDS LÄN</t>
        </is>
      </c>
      <c r="G82" t="inlineStr">
        <is>
          <t>KUNGÄLV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44543</v>
      </c>
      <c r="E83" s="1" t="n">
        <v>46266</v>
      </c>
      <c r="F83" t="inlineStr">
        <is>
          <t>VÄSTRA GÖTALANDS LÄN</t>
        </is>
      </c>
      <c r="G83" t="inlineStr">
        <is>
          <t>KUNGÄLV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46266</v>
      </c>
      <c r="F84" t="inlineStr">
        <is>
          <t>VÄSTRA GÖTALANDS LÄN</t>
        </is>
      </c>
      <c r="G84" t="inlineStr">
        <is>
          <t>KUNGÄLV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46266</v>
      </c>
      <c r="F85" t="inlineStr">
        <is>
          <t>VÄSTRA GÖTALANDS LÄN</t>
        </is>
      </c>
      <c r="G85" t="inlineStr">
        <is>
          <t>KUNGÄLV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24461-2023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46266</v>
      </c>
      <c r="F86" t="inlineStr">
        <is>
          <t>VÄSTRA GÖTALANDS LÄN</t>
        </is>
      </c>
      <c r="G86" t="inlineStr">
        <is>
          <t>KUNGÄLV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45391</v>
      </c>
      <c r="E87" s="1" t="n">
        <v>46266</v>
      </c>
      <c r="F87" t="inlineStr">
        <is>
          <t>VÄSTRA GÖTALANDS LÄN</t>
        </is>
      </c>
      <c r="G87" t="inlineStr">
        <is>
          <t>KUNGÄLV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22731-2026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46157</v>
      </c>
      <c r="E88" s="1" t="n">
        <v>46266</v>
      </c>
      <c r="F88" t="inlineStr">
        <is>
          <t>VÄSTRA GÖTALANDS LÄN</t>
        </is>
      </c>
      <c r="G88" t="inlineStr">
        <is>
          <t>KUNGÄLV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45837</v>
      </c>
      <c r="E89" s="1" t="n">
        <v>46266</v>
      </c>
      <c r="F89" t="inlineStr">
        <is>
          <t>VÄSTRA GÖTALANDS LÄN</t>
        </is>
      </c>
      <c r="G89" t="inlineStr">
        <is>
          <t>KUNGÄLV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46266</v>
      </c>
      <c r="F90" t="inlineStr">
        <is>
          <t>VÄSTRA GÖTALANDS LÄN</t>
        </is>
      </c>
      <c r="G90" t="inlineStr">
        <is>
          <t>KUNGÄLV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46266</v>
      </c>
      <c r="F91" t="inlineStr">
        <is>
          <t>VÄSTRA GÖTALANDS LÄN</t>
        </is>
      </c>
      <c r="G91" t="inlineStr">
        <is>
          <t>KUNGÄLV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4263-2024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45324</v>
      </c>
      <c r="E92" s="1" t="n">
        <v>46266</v>
      </c>
      <c r="F92" t="inlineStr">
        <is>
          <t>VÄSTRA GÖTALANDS LÄN</t>
        </is>
      </c>
      <c r="G92" t="inlineStr">
        <is>
          <t>KUNGÄLV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46266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46266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46266</v>
      </c>
      <c r="F95" t="inlineStr">
        <is>
          <t>VÄSTRA GÖTALANDS LÄN</t>
        </is>
      </c>
      <c r="G95" t="inlineStr">
        <is>
          <t>KUNGÄLV</t>
        </is>
      </c>
      <c r="I95" t="n">
        <v>14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63319-2021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46266</v>
      </c>
      <c r="F96" t="inlineStr">
        <is>
          <t>VÄSTRA GÖTALANDS LÄN</t>
        </is>
      </c>
      <c r="G96" t="inlineStr">
        <is>
          <t>KUNGÄLV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46266</v>
      </c>
      <c r="F97" t="inlineStr">
        <is>
          <t>VÄSTRA GÖTALANDS LÄN</t>
        </is>
      </c>
      <c r="G97" t="inlineStr">
        <is>
          <t>KUNGÄLV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46266</v>
      </c>
      <c r="F98" t="inlineStr">
        <is>
          <t>VÄSTRA GÖTALANDS LÄN</t>
        </is>
      </c>
      <c r="G98" t="inlineStr">
        <is>
          <t>KUNGÄLV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46254</v>
      </c>
      <c r="E99" s="1" t="n">
        <v>46266</v>
      </c>
      <c r="F99" t="inlineStr">
        <is>
          <t>VÄSTRA GÖTALANDS LÄN</t>
        </is>
      </c>
      <c r="G99" t="inlineStr">
        <is>
          <t>KUNGÄLV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46266</v>
      </c>
      <c r="F100" t="inlineStr">
        <is>
          <t>VÄSTRA GÖTALANDS LÄN</t>
        </is>
      </c>
      <c r="G100" t="inlineStr">
        <is>
          <t>KUNGÄLV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34396-2026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46254</v>
      </c>
      <c r="E101" s="1" t="n">
        <v>46266</v>
      </c>
      <c r="F101" t="inlineStr">
        <is>
          <t>VÄSTRA GÖTALANDS LÄN</t>
        </is>
      </c>
      <c r="G101" t="inlineStr">
        <is>
          <t>KUNGÄLV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46211</v>
      </c>
      <c r="E102" s="1" t="n">
        <v>46266</v>
      </c>
      <c r="F102" t="inlineStr">
        <is>
          <t>VÄSTRA GÖTALANDS LÄN</t>
        </is>
      </c>
      <c r="G102" t="inlineStr">
        <is>
          <t>KUNGÄLV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30859-2026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46212</v>
      </c>
      <c r="E103" s="1" t="n">
        <v>46266</v>
      </c>
      <c r="F103" t="inlineStr">
        <is>
          <t>VÄSTRA GÖTALANDS LÄN</t>
        </is>
      </c>
      <c r="G103" t="inlineStr">
        <is>
          <t>KUNGÄLV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46266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2026-09-01T02:10:13Z</dcterms:created>
  <dcterms:modified xmlns:dcterms="http://purl.org/dc/terms/" xmlns:xsi="http://www.w3.org/2001/XMLSchema-instance" xsi:type="dcterms:W3CDTF">2026-09-01T02:10:13Z</dcterms:modified>
</cp:coreProperties>
</file>