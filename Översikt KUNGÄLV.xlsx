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46312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46312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46312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46312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46312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46312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46312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46312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46312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46312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42407-2026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46312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Dunmossa</t>
        </is>
      </c>
      <c r="W25">
        <f>HYPERLINK("https://klasma.github.io/Logging_1482/artfynd/A 42407-2026 artfynd.xlsx", "A 42407-2026")</f>
        <v/>
      </c>
      <c r="X25">
        <f>HYPERLINK("https://klasma.github.io/Logging_1482/kartor/A 42407-2026 karta.png", "A 42407-2026")</f>
        <v/>
      </c>
      <c r="Y25">
        <f>HYPERLINK("https://klasma.github.io/Logging_1482/kartor_geotiff/A 42407-2026 georefererad karta.tif", "A 42407-2026")</f>
        <v/>
      </c>
      <c r="AA25">
        <f>HYPERLINK("https://klasma.github.io/Logging_1482/klagomål/A 42407-2026 FSC-klagomål.docx", "A 42407-2026")</f>
        <v/>
      </c>
      <c r="AB25">
        <f>HYPERLINK("https://klasma.github.io/Logging_1482/klagomålsmail/A 42407-2026 FSC-klagomål mail.docx", "A 42407-2026")</f>
        <v/>
      </c>
      <c r="AC25">
        <f>HYPERLINK("https://klasma.github.io/Logging_1482/tillsyn/A 42407-2026 tillsynsbegäran.docx", "A 42407-2026")</f>
        <v/>
      </c>
      <c r="AD25">
        <f>HYPERLINK("https://klasma.github.io/Logging_1482/tillsynsmail/A 42407-2026 tillsynsbegäran mail.docx", "A 42407-2026")</f>
        <v/>
      </c>
    </row>
    <row r="26" ht="15" customHeight="1">
      <c r="A26" t="inlineStr">
        <is>
          <t>A 6082-2025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45697</v>
      </c>
      <c r="E26" s="1" t="n">
        <v>46312</v>
      </c>
      <c r="F26" t="inlineStr">
        <is>
          <t>VÄSTRA GÖTALANDS LÄN</t>
        </is>
      </c>
      <c r="G26" t="inlineStr">
        <is>
          <t>KUNGÄLV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HYPERLINK("https://klasma.github.io/Logging_1482/artfynd/A 6082-2025 artfynd.xlsx", "A 6082-2025")</f>
        <v/>
      </c>
      <c r="X26">
        <f>HYPERLINK("https://klasma.github.io/Logging_1482/kartor/A 6082-2025 karta.png", "A 6082-2025")</f>
        <v/>
      </c>
      <c r="Y26">
        <f>HYPERLINK("https://klasma.github.io/Logging_1482/kartor_geotiff/A 6082-2025 georefererad karta.tif", "A 6082-2025")</f>
        <v/>
      </c>
      <c r="AA26">
        <f>HYPERLINK("https://klasma.github.io/Logging_1482/klagomål/A 6082-2025 FSC-klagomål.docx", "A 6082-2025")</f>
        <v/>
      </c>
      <c r="AB26">
        <f>HYPERLINK("https://klasma.github.io/Logging_1482/klagomålsmail/A 6082-2025 FSC-klagomål mail.docx", "A 6082-2025")</f>
        <v/>
      </c>
      <c r="AC26">
        <f>HYPERLINK("https://klasma.github.io/Logging_1482/tillsyn/A 6082-2025 tillsynsbegäran.docx", "A 6082-2025")</f>
        <v/>
      </c>
      <c r="AD26">
        <f>HYPERLINK("https://klasma.github.io/Logging_1482/tillsynsmail/A 6082-2025 tillsynsbegäran mail.docx", "A 6082-2025")</f>
        <v/>
      </c>
      <c r="AE26">
        <f>HYPERLINK("https://klasma.github.io/Logging_1482/fåglar/A 6082-2025 prioriterade fågelarter.docx", "A 6082-2025")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46312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46312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46312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46312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46312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46312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46312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46312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45482</v>
      </c>
      <c r="E35" s="1" t="n">
        <v>46312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46312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46312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46312</v>
      </c>
      <c r="F38" t="inlineStr">
        <is>
          <t>VÄSTRA GÖTALANDS LÄN</t>
        </is>
      </c>
      <c r="G38" t="inlineStr">
        <is>
          <t>KUNGÄLV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45694</v>
      </c>
      <c r="E39" s="1" t="n">
        <v>46312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46312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46312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45347</v>
      </c>
      <c r="E42" s="1" t="n">
        <v>46312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46312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46312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46312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46312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46312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45308</v>
      </c>
      <c r="E48" s="1" t="n">
        <v>46312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46312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44757</v>
      </c>
      <c r="E50" s="1" t="n">
        <v>46312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46312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45324</v>
      </c>
      <c r="E52" s="1" t="n">
        <v>46312</v>
      </c>
      <c r="F52" t="inlineStr">
        <is>
          <t>VÄSTRA GÖTALANDS LÄN</t>
        </is>
      </c>
      <c r="G52" t="inlineStr">
        <is>
          <t>KUNGÄLV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46312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46312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45837</v>
      </c>
      <c r="E55" s="1" t="n">
        <v>46312</v>
      </c>
      <c r="F55" t="inlineStr">
        <is>
          <t>VÄSTRA GÖTALANDS LÄN</t>
        </is>
      </c>
      <c r="G55" t="inlineStr">
        <is>
          <t>KUNGÄLV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46312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46312</v>
      </c>
      <c r="F57" t="inlineStr">
        <is>
          <t>VÄSTRA GÖTALANDS LÄN</t>
        </is>
      </c>
      <c r="G57" t="inlineStr">
        <is>
          <t>KUNGÄLV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46312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25135-2025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46312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46312</v>
      </c>
      <c r="F60" t="inlineStr">
        <is>
          <t>VÄSTRA GÖTALANDS LÄN</t>
        </is>
      </c>
      <c r="G60" t="inlineStr">
        <is>
          <t>KUNGÄLV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46312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46312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46312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46312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46312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46312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46312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46312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46312</v>
      </c>
      <c r="F69" t="inlineStr">
        <is>
          <t>VÄSTRA GÖTALANDS LÄN</t>
        </is>
      </c>
      <c r="G69" t="inlineStr">
        <is>
          <t>KUNGÄLV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46312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46312</v>
      </c>
      <c r="F71" t="inlineStr">
        <is>
          <t>VÄSTRA GÖTALANDS LÄN</t>
        </is>
      </c>
      <c r="G71" t="inlineStr">
        <is>
          <t>KUNGÄLV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46312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46312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46312</v>
      </c>
      <c r="F74" t="inlineStr">
        <is>
          <t>VÄSTRA GÖTALANDS LÄN</t>
        </is>
      </c>
      <c r="G74" t="inlineStr">
        <is>
          <t>KUNGÄLV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45222</v>
      </c>
      <c r="E75" s="1" t="n">
        <v>46312</v>
      </c>
      <c r="F75" t="inlineStr">
        <is>
          <t>VÄSTRA GÖTALANDS LÄN</t>
        </is>
      </c>
      <c r="G75" t="inlineStr">
        <is>
          <t>KUNGÄLV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46312</v>
      </c>
      <c r="F76" t="inlineStr">
        <is>
          <t>VÄSTRA GÖTALANDS LÄN</t>
        </is>
      </c>
      <c r="G76" t="inlineStr">
        <is>
          <t>KUNGÄLV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46312</v>
      </c>
      <c r="F77" t="inlineStr">
        <is>
          <t>VÄSTRA GÖTALANDS LÄN</t>
        </is>
      </c>
      <c r="G77" t="inlineStr">
        <is>
          <t>KUNGÄLV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46312</v>
      </c>
      <c r="F78" t="inlineStr">
        <is>
          <t>VÄSTRA GÖTALANDS LÄN</t>
        </is>
      </c>
      <c r="G78" t="inlineStr">
        <is>
          <t>KUNGÄLV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46312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46312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46312</v>
      </c>
      <c r="F81" t="inlineStr">
        <is>
          <t>VÄSTRA GÖTALANDS LÄN</t>
        </is>
      </c>
      <c r="G81" t="inlineStr">
        <is>
          <t>KUNGÄLV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46312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46312</v>
      </c>
      <c r="F83" t="inlineStr">
        <is>
          <t>VÄSTRA GÖTALANDS LÄN</t>
        </is>
      </c>
      <c r="G83" t="inlineStr">
        <is>
          <t>KUNGÄLV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46312</v>
      </c>
      <c r="F84" t="inlineStr">
        <is>
          <t>VÄSTRA GÖTALANDS LÄN</t>
        </is>
      </c>
      <c r="G84" t="inlineStr">
        <is>
          <t>KUNGÄLV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46312</v>
      </c>
      <c r="F85" t="inlineStr">
        <is>
          <t>VÄSTRA GÖTALANDS LÄN</t>
        </is>
      </c>
      <c r="G85" t="inlineStr">
        <is>
          <t>KUNGÄLV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46312</v>
      </c>
      <c r="F86" t="inlineStr">
        <is>
          <t>VÄSTRA GÖTALANDS LÄN</t>
        </is>
      </c>
      <c r="G86" t="inlineStr">
        <is>
          <t>KUNGÄLV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46312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46312</v>
      </c>
      <c r="F88" t="inlineStr">
        <is>
          <t>VÄSTRA GÖTALANDS LÄN</t>
        </is>
      </c>
      <c r="G88" t="inlineStr">
        <is>
          <t>KUNGÄLV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46312</v>
      </c>
      <c r="F89" t="inlineStr">
        <is>
          <t>VÄSTRA GÖTALANDS LÄN</t>
        </is>
      </c>
      <c r="G89" t="inlineStr">
        <is>
          <t>KUNGÄLV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46312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46312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46302</v>
      </c>
      <c r="E92" s="1" t="n">
        <v>46312</v>
      </c>
      <c r="F92" t="inlineStr">
        <is>
          <t>VÄSTRA GÖTALANDS LÄN</t>
        </is>
      </c>
      <c r="G92" t="inlineStr">
        <is>
          <t>KUNGÄLV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46312</v>
      </c>
      <c r="F93" t="inlineStr">
        <is>
          <t>VÄSTRA GÖTALANDS LÄN</t>
        </is>
      </c>
      <c r="G93" t="inlineStr">
        <is>
          <t>KUNGÄLV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46312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46312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74285-2021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44558</v>
      </c>
      <c r="E96" s="1" t="n">
        <v>46312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46312</v>
      </c>
      <c r="F97" t="inlineStr">
        <is>
          <t>VÄSTRA GÖTALANDS LÄN</t>
        </is>
      </c>
      <c r="G97" t="inlineStr">
        <is>
          <t>KUNGÄLV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46312</v>
      </c>
      <c r="F98" t="inlineStr">
        <is>
          <t>VÄSTRA GÖTALANDS LÄN</t>
        </is>
      </c>
      <c r="G98" t="inlineStr">
        <is>
          <t>KUNGÄLV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45124</v>
      </c>
      <c r="E99" s="1" t="n">
        <v>46312</v>
      </c>
      <c r="F99" t="inlineStr">
        <is>
          <t>VÄSTRA GÖTALANDS LÄN</t>
        </is>
      </c>
      <c r="G99" t="inlineStr">
        <is>
          <t>KUNGÄLV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46312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46312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46312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46312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2026-10-17T02:06:02Z</dcterms:created>
  <dcterms:modified xmlns:dcterms="http://purl.org/dc/terms/" xmlns:xsi="http://www.w3.org/2001/XMLSchema-instance" xsi:type="dcterms:W3CDTF">2026-10-17T02:06:02Z</dcterms:modified>
</cp:coreProperties>
</file>