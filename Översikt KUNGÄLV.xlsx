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46251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46251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46251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53008-2025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45957</v>
      </c>
      <c r="E9" s="1" t="n">
        <v>46251</v>
      </c>
      <c r="F9" t="inlineStr">
        <is>
          <t>VÄSTRA GÖTALANDS LÄN</t>
        </is>
      </c>
      <c r="G9" t="inlineStr">
        <is>
          <t>KUNGÄLV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Kambräken
Västlig hakmossa
Spillkråka</t>
        </is>
      </c>
      <c r="W9">
        <f>HYPERLINK("https://klasma.github.io/Logging_1482/artfynd/A 53008-2025 artfynd.xlsx", "A 53008-2025")</f>
        <v/>
      </c>
      <c r="X9">
        <f>HYPERLINK("https://klasma.github.io/Logging_1482/kartor/A 53008-2025 karta.png", "A 53008-2025")</f>
        <v/>
      </c>
      <c r="Y9">
        <f>HYPERLINK("https://klasma.github.io/Logging_1482/kartor_geotiff/A 53008-2025 georefererad karta.tif", "A 53008-2025")</f>
        <v/>
      </c>
      <c r="AA9">
        <f>HYPERLINK("https://klasma.github.io/Logging_1482/klagomål/A 53008-2025 FSC-klagomål.docx", "A 53008-2025")</f>
        <v/>
      </c>
      <c r="AB9">
        <f>HYPERLINK("https://klasma.github.io/Logging_1482/klagomålsmail/A 53008-2025 FSC-klagomål mail.docx", "A 53008-2025")</f>
        <v/>
      </c>
      <c r="AC9">
        <f>HYPERLINK("https://klasma.github.io/Logging_1482/tillsyn/A 53008-2025 tillsynsbegäran.docx", "A 53008-2025")</f>
        <v/>
      </c>
      <c r="AD9">
        <f>HYPERLINK("https://klasma.github.io/Logging_1482/tillsynsmail/A 53008-2025 tillsynsbegäran mail.docx", "A 53008-2025")</f>
        <v/>
      </c>
      <c r="AE9">
        <f>HYPERLINK("https://klasma.github.io/Logging_1482/fåglar/A 53008-2025 prioriterade fågelarter.docx", "A 53008-2025")</f>
        <v/>
      </c>
    </row>
    <row r="10" ht="15" customHeight="1">
      <c r="A10" t="inlineStr">
        <is>
          <t>A 30872-2026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46212</v>
      </c>
      <c r="E10" s="1" t="n">
        <v>46251</v>
      </c>
      <c r="F10" t="inlineStr">
        <is>
          <t>VÄSTRA GÖTALANDS LÄN</t>
        </is>
      </c>
      <c r="G10" t="inlineStr">
        <is>
          <t>KUNGÄLV</t>
        </is>
      </c>
      <c r="I10" t="n">
        <v>2.4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Blåmossa
Platt fjädermossa
Spillkråka</t>
        </is>
      </c>
      <c r="W10">
        <f>HYPERLINK("https://klasma.github.io/Logging_1482/artfynd/A 30872-2026 artfynd.xlsx", "A 30872-2026")</f>
        <v/>
      </c>
      <c r="X10">
        <f>HYPERLINK("https://klasma.github.io/Logging_1482/kartor/A 30872-2026 karta.png", "A 30872-2026")</f>
        <v/>
      </c>
      <c r="Y10">
        <f>HYPERLINK("https://klasma.github.io/Logging_1482/kartor_geotiff/A 30872-2026 georefererad karta.tif", "A 30872-2026")</f>
        <v/>
      </c>
      <c r="AA10">
        <f>HYPERLINK("https://klasma.github.io/Logging_1482/klagomål/A 30872-2026 FSC-klagomål.docx", "A 30872-2026")</f>
        <v/>
      </c>
      <c r="AB10">
        <f>HYPERLINK("https://klasma.github.io/Logging_1482/klagomålsmail/A 30872-2026 FSC-klagomål mail.docx", "A 30872-2026")</f>
        <v/>
      </c>
      <c r="AC10">
        <f>HYPERLINK("https://klasma.github.io/Logging_1482/tillsyn/A 30872-2026 tillsynsbegäran.docx", "A 30872-2026")</f>
        <v/>
      </c>
      <c r="AD10">
        <f>HYPERLINK("https://klasma.github.io/Logging_1482/tillsynsmail/A 30872-2026 tillsynsbegäran mail.docx", "A 30872-2026")</f>
        <v/>
      </c>
      <c r="AE10">
        <f>HYPERLINK("https://klasma.github.io/Logging_1482/fåglar/A 30872-2026 prioriterade fågelarter.docx", "A 30872-2026")</f>
        <v/>
      </c>
    </row>
    <row r="11" ht="15" customHeight="1">
      <c r="A11" t="inlineStr">
        <is>
          <t>A 48345-2021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44451</v>
      </c>
      <c r="E11" s="1" t="n">
        <v>46251</v>
      </c>
      <c r="F11" t="inlineStr">
        <is>
          <t>VÄSTRA GÖTALANDS LÄN</t>
        </is>
      </c>
      <c r="G11" t="inlineStr">
        <is>
          <t>KUNGÄLV</t>
        </is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Spillkråka
Revlummer</t>
        </is>
      </c>
      <c r="W11">
        <f>HYPERLINK("https://klasma.github.io/Logging_1482/artfynd/A 48345-2021 artfynd.xlsx", "A 48345-2021")</f>
        <v/>
      </c>
      <c r="X11">
        <f>HYPERLINK("https://klasma.github.io/Logging_1482/kartor/A 48345-2021 karta.png", "A 48345-2021")</f>
        <v/>
      </c>
      <c r="Y11">
        <f>HYPERLINK("https://klasma.github.io/Logging_1482/kartor_geotiff/A 48345-2021 georefererad karta.tif", "A 48345-2021")</f>
        <v/>
      </c>
      <c r="AA11">
        <f>HYPERLINK("https://klasma.github.io/Logging_1482/klagomål/A 48345-2021 FSC-klagomål.docx", "A 48345-2021")</f>
        <v/>
      </c>
      <c r="AB11">
        <f>HYPERLINK("https://klasma.github.io/Logging_1482/klagomålsmail/A 48345-2021 FSC-klagomål mail.docx", "A 48345-2021")</f>
        <v/>
      </c>
      <c r="AC11">
        <f>HYPERLINK("https://klasma.github.io/Logging_1482/tillsyn/A 48345-2021 tillsynsbegäran.docx", "A 48345-2021")</f>
        <v/>
      </c>
      <c r="AD11">
        <f>HYPERLINK("https://klasma.github.io/Logging_1482/tillsynsmail/A 48345-2021 tillsynsbegäran mail.docx", "A 48345-2021")</f>
        <v/>
      </c>
      <c r="AE11">
        <f>HYPERLINK("https://klasma.github.io/Logging_1482/fåglar/A 48345-2021 prioriterade fågelarter.docx", "A 48345-2021")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46251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8558-2024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45355</v>
      </c>
      <c r="E13" s="1" t="n">
        <v>46251</v>
      </c>
      <c r="F13" t="inlineStr">
        <is>
          <t>VÄSTRA GÖTALANDS LÄN</t>
        </is>
      </c>
      <c r="G13" t="inlineStr">
        <is>
          <t>KUNGÄLV</t>
        </is>
      </c>
      <c r="I13" t="n">
        <v>12.5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Gulsparv
Spillkråka
Revlummer</t>
        </is>
      </c>
      <c r="W13">
        <f>HYPERLINK("https://klasma.github.io/Logging_1482/artfynd/A 8558-2024 artfynd.xlsx", "A 8558-2024")</f>
        <v/>
      </c>
      <c r="X13">
        <f>HYPERLINK("https://klasma.github.io/Logging_1482/kartor/A 8558-2024 karta.png", "A 8558-2024")</f>
        <v/>
      </c>
      <c r="Y13">
        <f>HYPERLINK("https://klasma.github.io/Logging_1482/kartor_geotiff/A 8558-2024 georefererad karta.tif", "A 8558-2024")</f>
        <v/>
      </c>
      <c r="AA13">
        <f>HYPERLINK("https://klasma.github.io/Logging_1482/klagomål/A 8558-2024 FSC-klagomål.docx", "A 8558-2024")</f>
        <v/>
      </c>
      <c r="AB13">
        <f>HYPERLINK("https://klasma.github.io/Logging_1482/klagomålsmail/A 8558-2024 FSC-klagomål mail.docx", "A 8558-2024")</f>
        <v/>
      </c>
      <c r="AC13">
        <f>HYPERLINK("https://klasma.github.io/Logging_1482/tillsyn/A 8558-2024 tillsynsbegäran.docx", "A 8558-2024")</f>
        <v/>
      </c>
      <c r="AD13">
        <f>HYPERLINK("https://klasma.github.io/Logging_1482/tillsynsmail/A 8558-2024 tillsynsbegäran mail.docx", "A 8558-2024")</f>
        <v/>
      </c>
      <c r="AE13">
        <f>HYPERLINK("https://klasma.github.io/Logging_1482/fåglar/A 8558-2024 prioriterade fågelarter.docx", "A 8558-2024")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46251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46251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46251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46251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46251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46251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46251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46251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46251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46251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46251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46251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46251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46251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46251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46251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46251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46251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46251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46251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44450</v>
      </c>
      <c r="E35" s="1" t="n">
        <v>46251</v>
      </c>
      <c r="F35" t="inlineStr">
        <is>
          <t>VÄSTRA GÖTALANDS LÄN</t>
        </is>
      </c>
      <c r="G35" t="inlineStr">
        <is>
          <t>KUNGÄLV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46251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46251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46251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46251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44755</v>
      </c>
      <c r="E40" s="1" t="n">
        <v>46251</v>
      </c>
      <c r="F40" t="inlineStr">
        <is>
          <t>VÄSTRA GÖTALANDS LÄN</t>
        </is>
      </c>
      <c r="G40" t="inlineStr">
        <is>
          <t>KUNGÄLV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46251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49981-2023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46251</v>
      </c>
      <c r="F42" t="inlineStr">
        <is>
          <t>VÄSTRA GÖTALANDS LÄN</t>
        </is>
      </c>
      <c r="G42" t="inlineStr">
        <is>
          <t>KUNGÄLV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41765-2021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44425</v>
      </c>
      <c r="E43" s="1" t="n">
        <v>46251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45267</v>
      </c>
      <c r="E44" s="1" t="n">
        <v>46251</v>
      </c>
      <c r="F44" t="inlineStr">
        <is>
          <t>VÄSTRA GÖTALANDS LÄN</t>
        </is>
      </c>
      <c r="G44" t="inlineStr">
        <is>
          <t>KUNGÄLV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46251</v>
      </c>
      <c r="F45" t="inlineStr">
        <is>
          <t>VÄSTRA GÖTALANDS LÄN</t>
        </is>
      </c>
      <c r="G45" t="inlineStr">
        <is>
          <t>KUNGÄLV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46251</v>
      </c>
      <c r="F46" t="inlineStr">
        <is>
          <t>VÄSTRA GÖTALANDS LÄN</t>
        </is>
      </c>
      <c r="G46" t="inlineStr">
        <is>
          <t>KUNGÄLV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46251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44837</v>
      </c>
      <c r="E48" s="1" t="n">
        <v>46251</v>
      </c>
      <c r="F48" t="inlineStr">
        <is>
          <t>VÄSTRA GÖTALANDS LÄN</t>
        </is>
      </c>
      <c r="G48" t="inlineStr">
        <is>
          <t>KUNGÄLV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46251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45482</v>
      </c>
      <c r="E50" s="1" t="n">
        <v>46251</v>
      </c>
      <c r="F50" t="inlineStr">
        <is>
          <t>VÄSTRA GÖTALANDS LÄN</t>
        </is>
      </c>
      <c r="G50" t="inlineStr">
        <is>
          <t>KUNGÄLV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45877</v>
      </c>
      <c r="E51" s="1" t="n">
        <v>46251</v>
      </c>
      <c r="F51" t="inlineStr">
        <is>
          <t>VÄSTRA GÖTALANDS LÄN</t>
        </is>
      </c>
      <c r="G51" t="inlineStr">
        <is>
          <t>KUNGÄLV</t>
        </is>
      </c>
      <c r="H51" t="inlineStr">
        <is>
          <t>Kyrkan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46251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46251</v>
      </c>
      <c r="F53" t="inlineStr">
        <is>
          <t>VÄSTRA GÖTALANDS LÄN</t>
        </is>
      </c>
      <c r="G53" t="inlineStr">
        <is>
          <t>KUNGÄLV</t>
        </is>
      </c>
      <c r="I53" t="n">
        <v>7.5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46251</v>
      </c>
      <c r="F54" t="inlineStr">
        <is>
          <t>VÄSTRA GÖTALANDS LÄN</t>
        </is>
      </c>
      <c r="G54" t="inlineStr">
        <is>
          <t>KUNGÄLV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44975</v>
      </c>
      <c r="E55" s="1" t="n">
        <v>46251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46251</v>
      </c>
      <c r="F56" t="inlineStr">
        <is>
          <t>VÄSTRA GÖTALANDS LÄN</t>
        </is>
      </c>
      <c r="G56" t="inlineStr">
        <is>
          <t>KUNGÄLV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46251</v>
      </c>
      <c r="F57" t="inlineStr">
        <is>
          <t>VÄSTRA GÖTALANDS LÄN</t>
        </is>
      </c>
      <c r="G57" t="inlineStr">
        <is>
          <t>KUNGÄLV</t>
        </is>
      </c>
      <c r="I57" t="n">
        <v>14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46251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46251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46251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45470</v>
      </c>
      <c r="E61" s="1" t="n">
        <v>46251</v>
      </c>
      <c r="F61" t="inlineStr">
        <is>
          <t>VÄSTRA GÖTALANDS LÄN</t>
        </is>
      </c>
      <c r="G61" t="inlineStr">
        <is>
          <t>KUNGÄLV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46251</v>
      </c>
      <c r="F62" t="inlineStr">
        <is>
          <t>VÄSTRA GÖTALANDS LÄN</t>
        </is>
      </c>
      <c r="G62" t="inlineStr">
        <is>
          <t>KUNGÄLV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34366-2022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46251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46251</v>
      </c>
      <c r="F64" t="inlineStr">
        <is>
          <t>VÄSTRA GÖTALANDS LÄN</t>
        </is>
      </c>
      <c r="G64" t="inlineStr">
        <is>
          <t>KUNGÄLV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6946-2026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46057</v>
      </c>
      <c r="E65" s="1" t="n">
        <v>46251</v>
      </c>
      <c r="F65" t="inlineStr">
        <is>
          <t>VÄSTRA GÖTALANDS LÄN</t>
        </is>
      </c>
      <c r="G65" t="inlineStr">
        <is>
          <t>KUNGÄLV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44989</v>
      </c>
      <c r="E66" s="1" t="n">
        <v>46251</v>
      </c>
      <c r="F66" t="inlineStr">
        <is>
          <t>VÄSTRA GÖTALANDS LÄN</t>
        </is>
      </c>
      <c r="G66" t="inlineStr">
        <is>
          <t>KUNGÄLV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46251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24461-2023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45082</v>
      </c>
      <c r="E68" s="1" t="n">
        <v>46251</v>
      </c>
      <c r="F68" t="inlineStr">
        <is>
          <t>VÄSTRA GÖTALANDS LÄN</t>
        </is>
      </c>
      <c r="G68" t="inlineStr">
        <is>
          <t>KUNGÄLV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21240-2023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45058</v>
      </c>
      <c r="E69" s="1" t="n">
        <v>46251</v>
      </c>
      <c r="F69" t="inlineStr">
        <is>
          <t>VÄSTRA GÖTALANDS LÄN</t>
        </is>
      </c>
      <c r="G69" t="inlineStr">
        <is>
          <t>KUNGÄLV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46251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46251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46251</v>
      </c>
      <c r="F72" t="inlineStr">
        <is>
          <t>VÄSTRA GÖTALANDS LÄN</t>
        </is>
      </c>
      <c r="G72" t="inlineStr">
        <is>
          <t>KUNGÄLV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46251</v>
      </c>
      <c r="F73" t="inlineStr">
        <is>
          <t>VÄSTRA GÖTALANDS LÄN</t>
        </is>
      </c>
      <c r="G73" t="inlineStr">
        <is>
          <t>KUNGÄLV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46251</v>
      </c>
      <c r="F74" t="inlineStr">
        <is>
          <t>VÄSTRA GÖTALANDS LÄN</t>
        </is>
      </c>
      <c r="G74" t="inlineStr">
        <is>
          <t>KUNGÄLV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23457-2024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45453</v>
      </c>
      <c r="E75" s="1" t="n">
        <v>46251</v>
      </c>
      <c r="F75" t="inlineStr">
        <is>
          <t>VÄSTRA GÖTALANDS LÄN</t>
        </is>
      </c>
      <c r="G75" t="inlineStr">
        <is>
          <t>KUNGÄLV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45552</v>
      </c>
      <c r="E76" s="1" t="n">
        <v>46251</v>
      </c>
      <c r="F76" t="inlineStr">
        <is>
          <t>VÄSTRA GÖTALANDS LÄN</t>
        </is>
      </c>
      <c r="G76" t="inlineStr">
        <is>
          <t>KUNGÄLV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46251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46251</v>
      </c>
      <c r="F78" t="inlineStr">
        <is>
          <t>VÄSTRA GÖTALANDS LÄN</t>
        </is>
      </c>
      <c r="G78" t="inlineStr">
        <is>
          <t>KUNGÄLV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45837</v>
      </c>
      <c r="E79" s="1" t="n">
        <v>46251</v>
      </c>
      <c r="F79" t="inlineStr">
        <is>
          <t>VÄSTRA GÖTALANDS LÄN</t>
        </is>
      </c>
      <c r="G79" t="inlineStr">
        <is>
          <t>KUNGÄLV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45222</v>
      </c>
      <c r="E80" s="1" t="n">
        <v>46251</v>
      </c>
      <c r="F80" t="inlineStr">
        <is>
          <t>VÄSTRA GÖTALANDS LÄN</t>
        </is>
      </c>
      <c r="G80" t="inlineStr">
        <is>
          <t>KUNGÄLV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45347</v>
      </c>
      <c r="E81" s="1" t="n">
        <v>46251</v>
      </c>
      <c r="F81" t="inlineStr">
        <is>
          <t>VÄSTRA GÖTALANDS LÄN</t>
        </is>
      </c>
      <c r="G81" t="inlineStr">
        <is>
          <t>KUNGÄLV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46163</v>
      </c>
      <c r="E82" s="1" t="n">
        <v>46251</v>
      </c>
      <c r="F82" t="inlineStr">
        <is>
          <t>VÄSTRA GÖTALANDS LÄN</t>
        </is>
      </c>
      <c r="G82" t="inlineStr">
        <is>
          <t>KUNGÄLV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46251</v>
      </c>
      <c r="F83" t="inlineStr">
        <is>
          <t>VÄSTRA GÖTALANDS LÄN</t>
        </is>
      </c>
      <c r="G83" t="inlineStr">
        <is>
          <t>KUNGÄLV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46251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46211</v>
      </c>
      <c r="E85" s="1" t="n">
        <v>46251</v>
      </c>
      <c r="F85" t="inlineStr">
        <is>
          <t>VÄSTRA GÖTALANDS LÄN</t>
        </is>
      </c>
      <c r="G85" t="inlineStr">
        <is>
          <t>KUNGÄLV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46251</v>
      </c>
      <c r="F86" t="inlineStr">
        <is>
          <t>VÄSTRA GÖTALANDS LÄN</t>
        </is>
      </c>
      <c r="G86" t="inlineStr">
        <is>
          <t>KUNGÄLV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46251</v>
      </c>
      <c r="F87" t="inlineStr">
        <is>
          <t>VÄSTRA GÖTALANDS LÄN</t>
        </is>
      </c>
      <c r="G87" t="inlineStr">
        <is>
          <t>KUNGÄLV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46251</v>
      </c>
      <c r="F88" t="inlineStr">
        <is>
          <t>VÄSTRA GÖTALANDS LÄN</t>
        </is>
      </c>
      <c r="G88" t="inlineStr">
        <is>
          <t>KUNGÄLV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46251</v>
      </c>
      <c r="F89" t="inlineStr">
        <is>
          <t>VÄSTRA GÖTALANDS LÄN</t>
        </is>
      </c>
      <c r="G89" t="inlineStr">
        <is>
          <t>KUNGÄLV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74285-2021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44558</v>
      </c>
      <c r="E90" s="1" t="n">
        <v>46251</v>
      </c>
      <c r="F90" t="inlineStr">
        <is>
          <t>VÄSTRA GÖTALANDS LÄN</t>
        </is>
      </c>
      <c r="G90" t="inlineStr">
        <is>
          <t>KUNGÄLV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44624</v>
      </c>
      <c r="E91" s="1" t="n">
        <v>46251</v>
      </c>
      <c r="F91" t="inlineStr">
        <is>
          <t>VÄSTRA GÖTALANDS LÄN</t>
        </is>
      </c>
      <c r="G91" t="inlineStr">
        <is>
          <t>KUNGÄLV</t>
        </is>
      </c>
      <c r="I91" t="n">
        <v>13.3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46251</v>
      </c>
      <c r="F92" t="inlineStr">
        <is>
          <t>VÄSTRA GÖTALANDS LÄN</t>
        </is>
      </c>
      <c r="G92" t="inlineStr">
        <is>
          <t>KUNGÄLV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44916</v>
      </c>
      <c r="E93" s="1" t="n">
        <v>46251</v>
      </c>
      <c r="F93" t="inlineStr">
        <is>
          <t>VÄSTRA GÖTALANDS LÄN</t>
        </is>
      </c>
      <c r="G93" t="inlineStr">
        <is>
          <t>KUNGÄLV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45120</v>
      </c>
      <c r="E94" s="1" t="n">
        <v>46251</v>
      </c>
      <c r="F94" t="inlineStr">
        <is>
          <t>VÄSTRA GÖTALANDS LÄN</t>
        </is>
      </c>
      <c r="G94" t="inlineStr">
        <is>
          <t>KUNGÄLV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45124</v>
      </c>
      <c r="E95" s="1" t="n">
        <v>46251</v>
      </c>
      <c r="F95" t="inlineStr">
        <is>
          <t>VÄSTRA GÖTALANDS LÄN</t>
        </is>
      </c>
      <c r="G95" t="inlineStr">
        <is>
          <t>KUNGÄLV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19531-2023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45050</v>
      </c>
      <c r="E96" s="1" t="n">
        <v>46251</v>
      </c>
      <c r="F96" t="inlineStr">
        <is>
          <t>VÄSTRA GÖTALANDS LÄN</t>
        </is>
      </c>
      <c r="G96" t="inlineStr">
        <is>
          <t>KUNGÄLV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46251</v>
      </c>
      <c r="F97" t="inlineStr">
        <is>
          <t>VÄSTRA GÖTALANDS LÄN</t>
        </is>
      </c>
      <c r="G97" t="inlineStr">
        <is>
          <t>KUNGÄLV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5705-2025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45694</v>
      </c>
      <c r="E98" s="1" t="n">
        <v>46251</v>
      </c>
      <c r="F98" t="inlineStr">
        <is>
          <t>VÄSTRA GÖTALANDS LÄN</t>
        </is>
      </c>
      <c r="G98" t="inlineStr">
        <is>
          <t>KUNGÄLV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62979-2023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45271</v>
      </c>
      <c r="E99" s="1" t="n">
        <v>46251</v>
      </c>
      <c r="F99" t="inlineStr">
        <is>
          <t>VÄSTRA GÖTALANDS LÄN</t>
        </is>
      </c>
      <c r="G99" t="inlineStr">
        <is>
          <t>KUNGÄLV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45844</v>
      </c>
      <c r="E100" s="1" t="n">
        <v>46251</v>
      </c>
      <c r="F100" t="inlineStr">
        <is>
          <t>VÄSTRA GÖTALANDS LÄN</t>
        </is>
      </c>
      <c r="G100" t="inlineStr">
        <is>
          <t>KUNGÄLV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46251</v>
      </c>
      <c r="F101" t="inlineStr">
        <is>
          <t>VÄSTRA GÖTALANDS LÄN</t>
        </is>
      </c>
      <c r="G101" t="inlineStr">
        <is>
          <t>KUNGÄLV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46251</v>
      </c>
      <c r="F102" t="inlineStr">
        <is>
          <t>VÄSTRA GÖTALANDS LÄN</t>
        </is>
      </c>
      <c r="G102" t="inlineStr">
        <is>
          <t>KUNGÄLV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46251</v>
      </c>
      <c r="F103" t="inlineStr">
        <is>
          <t>VÄSTRA GÖTALANDS LÄN</t>
        </is>
      </c>
      <c r="G103" t="inlineStr">
        <is>
          <t>KUNGÄLV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46251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2026-08-17T01:48:50Z</dcterms:created>
  <dcterms:modified xmlns:dcterms="http://purl.org/dc/terms/" xmlns:xsi="http://www.w3.org/2001/XMLSchema-instance" xsi:type="dcterms:W3CDTF">2026-08-17T01:48:50Z</dcterms:modified>
</cp:coreProperties>
</file>