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46314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46314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46314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46314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46314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46314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46314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46314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46314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46314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46314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46314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46314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46314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46314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46314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46314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46314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46314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21240-2023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46314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HYPERLINK("https://klasma.github.io/Logging_1482/artfynd/A 21240-2023 artfynd.xlsx", "A 21240-2023")</f>
        <v/>
      </c>
      <c r="X21">
        <f>HYPERLINK("https://klasma.github.io/Logging_1482/kartor/A 21240-2023 karta.png", "A 21240-2023")</f>
        <v/>
      </c>
      <c r="Y21">
        <f>HYPERLINK("https://klasma.github.io/Logging_1482/kartor_geotiff/A 21240-2023 georefererad karta.tif", "A 21240-2023")</f>
        <v/>
      </c>
      <c r="AA21">
        <f>HYPERLINK("https://klasma.github.io/Logging_1482/klagomål/A 21240-2023 FSC-klagomål.docx", "A 21240-2023")</f>
        <v/>
      </c>
      <c r="AB21">
        <f>HYPERLINK("https://klasma.github.io/Logging_1482/klagomålsmail/A 21240-2023 FSC-klagomål mail.docx", "A 21240-2023")</f>
        <v/>
      </c>
      <c r="AC21">
        <f>HYPERLINK("https://klasma.github.io/Logging_1482/tillsyn/A 21240-2023 tillsynsbegäran.docx", "A 21240-2023")</f>
        <v/>
      </c>
      <c r="AD21">
        <f>HYPERLINK("https://klasma.github.io/Logging_1482/tillsynsmail/A 21240-2023 tillsynsbegäran mail.docx", "A 21240-2023")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46314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46314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46314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42407-2026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46307</v>
      </c>
      <c r="E25" s="1" t="n">
        <v>46314</v>
      </c>
      <c r="F25" t="inlineStr">
        <is>
          <t>VÄSTRA GÖTALANDS LÄN</t>
        </is>
      </c>
      <c r="G25" t="inlineStr">
        <is>
          <t>KUNGÄLV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Dunmossa</t>
        </is>
      </c>
      <c r="W25">
        <f>HYPERLINK("https://klasma.github.io/Logging_1482/artfynd/A 42407-2026 artfynd.xlsx", "A 42407-2026")</f>
        <v/>
      </c>
      <c r="X25">
        <f>HYPERLINK("https://klasma.github.io/Logging_1482/kartor/A 42407-2026 karta.png", "A 42407-2026")</f>
        <v/>
      </c>
      <c r="Y25">
        <f>HYPERLINK("https://klasma.github.io/Logging_1482/kartor_geotiff/A 42407-2026 georefererad karta.tif", "A 42407-2026")</f>
        <v/>
      </c>
      <c r="AA25">
        <f>HYPERLINK("https://klasma.github.io/Logging_1482/klagomål/A 42407-2026 FSC-klagomål.docx", "A 42407-2026")</f>
        <v/>
      </c>
      <c r="AB25">
        <f>HYPERLINK("https://klasma.github.io/Logging_1482/klagomålsmail/A 42407-2026 FSC-klagomål mail.docx", "A 42407-2026")</f>
        <v/>
      </c>
      <c r="AC25">
        <f>HYPERLINK("https://klasma.github.io/Logging_1482/tillsyn/A 42407-2026 tillsynsbegäran.docx", "A 42407-2026")</f>
        <v/>
      </c>
      <c r="AD25">
        <f>HYPERLINK("https://klasma.github.io/Logging_1482/tillsynsmail/A 42407-2026 tillsynsbegäran mail.docx", "A 42407-2026")</f>
        <v/>
      </c>
    </row>
    <row r="26" ht="15" customHeight="1">
      <c r="A26" t="inlineStr">
        <is>
          <t>A 6082-2025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45697</v>
      </c>
      <c r="E26" s="1" t="n">
        <v>46314</v>
      </c>
      <c r="F26" t="inlineStr">
        <is>
          <t>VÄSTRA GÖTALANDS LÄN</t>
        </is>
      </c>
      <c r="G26" t="inlineStr">
        <is>
          <t>KUNGÄLV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HYPERLINK("https://klasma.github.io/Logging_1482/artfynd/A 6082-2025 artfynd.xlsx", "A 6082-2025")</f>
        <v/>
      </c>
      <c r="X26">
        <f>HYPERLINK("https://klasma.github.io/Logging_1482/kartor/A 6082-2025 karta.png", "A 6082-2025")</f>
        <v/>
      </c>
      <c r="Y26">
        <f>HYPERLINK("https://klasma.github.io/Logging_1482/kartor_geotiff/A 6082-2025 georefererad karta.tif", "A 6082-2025")</f>
        <v/>
      </c>
      <c r="AA26">
        <f>HYPERLINK("https://klasma.github.io/Logging_1482/klagomål/A 6082-2025 FSC-klagomål.docx", "A 6082-2025")</f>
        <v/>
      </c>
      <c r="AB26">
        <f>HYPERLINK("https://klasma.github.io/Logging_1482/klagomålsmail/A 6082-2025 FSC-klagomål mail.docx", "A 6082-2025")</f>
        <v/>
      </c>
      <c r="AC26">
        <f>HYPERLINK("https://klasma.github.io/Logging_1482/tillsyn/A 6082-2025 tillsynsbegäran.docx", "A 6082-2025")</f>
        <v/>
      </c>
      <c r="AD26">
        <f>HYPERLINK("https://klasma.github.io/Logging_1482/tillsynsmail/A 6082-2025 tillsynsbegäran mail.docx", "A 6082-2025")</f>
        <v/>
      </c>
      <c r="AE26">
        <f>HYPERLINK("https://klasma.github.io/Logging_1482/fåglar/A 6082-2025 prioriterade fågelarter.docx", "A 6082-2025")</f>
        <v/>
      </c>
    </row>
    <row r="27" ht="15" customHeight="1">
      <c r="A27" t="inlineStr">
        <is>
          <t>A 19132-2022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46314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19133-2022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44691</v>
      </c>
      <c r="E28" s="1" t="n">
        <v>46314</v>
      </c>
      <c r="F28" t="inlineStr">
        <is>
          <t>VÄSTRA GÖTALANDS LÄN</t>
        </is>
      </c>
      <c r="G28" t="inlineStr">
        <is>
          <t>KUNGÄLV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46314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46314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46314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46314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46314</v>
      </c>
      <c r="F33" t="inlineStr">
        <is>
          <t>VÄSTRA GÖTALANDS LÄN</t>
        </is>
      </c>
      <c r="G33" t="inlineStr">
        <is>
          <t>KUNGÄLV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46314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29223-2024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45482</v>
      </c>
      <c r="E35" s="1" t="n">
        <v>46314</v>
      </c>
      <c r="F35" t="inlineStr">
        <is>
          <t>VÄSTRA GÖTALANDS LÄN</t>
        </is>
      </c>
      <c r="G35" t="inlineStr">
        <is>
          <t>KUNGÄLV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45552</v>
      </c>
      <c r="E36" s="1" t="n">
        <v>46314</v>
      </c>
      <c r="F36" t="inlineStr">
        <is>
          <t>VÄSTRA GÖTALANDS LÄN</t>
        </is>
      </c>
      <c r="G36" t="inlineStr">
        <is>
          <t>KUNGÄLV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44624</v>
      </c>
      <c r="E37" s="1" t="n">
        <v>46314</v>
      </c>
      <c r="F37" t="inlineStr">
        <is>
          <t>VÄSTRA GÖTALANDS LÄN</t>
        </is>
      </c>
      <c r="G37" t="inlineStr">
        <is>
          <t>KUNGÄLV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45050</v>
      </c>
      <c r="E38" s="1" t="n">
        <v>46314</v>
      </c>
      <c r="F38" t="inlineStr">
        <is>
          <t>VÄSTRA GÖTALANDS LÄN</t>
        </is>
      </c>
      <c r="G38" t="inlineStr">
        <is>
          <t>KUNGÄLV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5705-2025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45694</v>
      </c>
      <c r="E39" s="1" t="n">
        <v>46314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44975</v>
      </c>
      <c r="E40" s="1" t="n">
        <v>46314</v>
      </c>
      <c r="F40" t="inlineStr">
        <is>
          <t>VÄSTRA GÖTALANDS LÄN</t>
        </is>
      </c>
      <c r="G40" t="inlineStr">
        <is>
          <t>KUNGÄLV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46314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45347</v>
      </c>
      <c r="E42" s="1" t="n">
        <v>46314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46314</v>
      </c>
      <c r="F43" t="inlineStr">
        <is>
          <t>VÄSTRA GÖTALANDS LÄN</t>
        </is>
      </c>
      <c r="G43" t="inlineStr">
        <is>
          <t>KUNGÄLV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46314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46314</v>
      </c>
      <c r="F45" t="inlineStr">
        <is>
          <t>VÄSTRA GÖTALANDS LÄN</t>
        </is>
      </c>
      <c r="G45" t="inlineStr">
        <is>
          <t>KUNGÄLV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46314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46314</v>
      </c>
      <c r="F47" t="inlineStr">
        <is>
          <t>VÄSTRA GÖTALANDS LÄN</t>
        </is>
      </c>
      <c r="G47" t="inlineStr">
        <is>
          <t>KUNGÄLV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45308</v>
      </c>
      <c r="E48" s="1" t="n">
        <v>46314</v>
      </c>
      <c r="F48" t="inlineStr">
        <is>
          <t>VÄSTRA GÖTALANDS LÄN</t>
        </is>
      </c>
      <c r="G48" t="inlineStr">
        <is>
          <t>KUNGÄLV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46314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44757</v>
      </c>
      <c r="E50" s="1" t="n">
        <v>46314</v>
      </c>
      <c r="F50" t="inlineStr">
        <is>
          <t>VÄSTRA GÖTALANDS LÄN</t>
        </is>
      </c>
      <c r="G50" t="inlineStr">
        <is>
          <t>KUNGÄLV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44989</v>
      </c>
      <c r="E51" s="1" t="n">
        <v>46314</v>
      </c>
      <c r="F51" t="inlineStr">
        <is>
          <t>VÄSTRA GÖTALANDS LÄN</t>
        </is>
      </c>
      <c r="G51" t="inlineStr">
        <is>
          <t>KUNGÄLV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45324</v>
      </c>
      <c r="E52" s="1" t="n">
        <v>46314</v>
      </c>
      <c r="F52" t="inlineStr">
        <is>
          <t>VÄSTRA GÖTALANDS LÄN</t>
        </is>
      </c>
      <c r="G52" t="inlineStr">
        <is>
          <t>KUNGÄLV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46314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46157</v>
      </c>
      <c r="E54" s="1" t="n">
        <v>46314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32391-2025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45837</v>
      </c>
      <c r="E55" s="1" t="n">
        <v>46314</v>
      </c>
      <c r="F55" t="inlineStr">
        <is>
          <t>VÄSTRA GÖTALANDS LÄN</t>
        </is>
      </c>
      <c r="G55" t="inlineStr">
        <is>
          <t>KUNGÄLV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46314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23607-2026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46314</v>
      </c>
      <c r="F57" t="inlineStr">
        <is>
          <t>VÄSTRA GÖTALANDS LÄN</t>
        </is>
      </c>
      <c r="G57" t="inlineStr">
        <is>
          <t>KUNGÄLV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62979-2023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45271</v>
      </c>
      <c r="E58" s="1" t="n">
        <v>46314</v>
      </c>
      <c r="F58" t="inlineStr">
        <is>
          <t>VÄSTRA GÖTALANDS LÄN</t>
        </is>
      </c>
      <c r="G58" t="inlineStr">
        <is>
          <t>KUNGÄLV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25135-2025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45798</v>
      </c>
      <c r="E59" s="1" t="n">
        <v>46314</v>
      </c>
      <c r="F59" t="inlineStr">
        <is>
          <t>VÄSTRA GÖTALANDS LÄN</t>
        </is>
      </c>
      <c r="G59" t="inlineStr">
        <is>
          <t>KUNGÄLV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46314</v>
      </c>
      <c r="F60" t="inlineStr">
        <is>
          <t>VÄSTRA GÖTALANDS LÄN</t>
        </is>
      </c>
      <c r="G60" t="inlineStr">
        <is>
          <t>KUNGÄLV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26812-2024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45470</v>
      </c>
      <c r="E61" s="1" t="n">
        <v>46314</v>
      </c>
      <c r="F61" t="inlineStr">
        <is>
          <t>VÄSTRA GÖTALANDS LÄN</t>
        </is>
      </c>
      <c r="G61" t="inlineStr">
        <is>
          <t>KUNGÄLV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46314</v>
      </c>
      <c r="F62" t="inlineStr">
        <is>
          <t>VÄSTRA GÖTALANDS LÄN</t>
        </is>
      </c>
      <c r="G62" t="inlineStr">
        <is>
          <t>KUNGÄLV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46314</v>
      </c>
      <c r="F63" t="inlineStr">
        <is>
          <t>VÄSTRA GÖTALANDS LÄN</t>
        </is>
      </c>
      <c r="G63" t="inlineStr">
        <is>
          <t>KUNGÄLV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46314</v>
      </c>
      <c r="F64" t="inlineStr">
        <is>
          <t>VÄSTRA GÖTALANDS LÄN</t>
        </is>
      </c>
      <c r="G64" t="inlineStr">
        <is>
          <t>KUNGÄLV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46314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46314</v>
      </c>
      <c r="F66" t="inlineStr">
        <is>
          <t>VÄSTRA GÖTALANDS LÄN</t>
        </is>
      </c>
      <c r="G66" t="inlineStr">
        <is>
          <t>KUNGÄLV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6946-2026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46057</v>
      </c>
      <c r="E67" s="1" t="n">
        <v>46314</v>
      </c>
      <c r="F67" t="inlineStr">
        <is>
          <t>VÄSTRA GÖTALANDS LÄN</t>
        </is>
      </c>
      <c r="G67" t="inlineStr">
        <is>
          <t>KUNGÄLV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46314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46314</v>
      </c>
      <c r="F69" t="inlineStr">
        <is>
          <t>VÄSTRA GÖTALANDS LÄN</t>
        </is>
      </c>
      <c r="G69" t="inlineStr">
        <is>
          <t>KUNGÄLV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46314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45877</v>
      </c>
      <c r="E71" s="1" t="n">
        <v>46314</v>
      </c>
      <c r="F71" t="inlineStr">
        <is>
          <t>VÄSTRA GÖTALANDS LÄN</t>
        </is>
      </c>
      <c r="G71" t="inlineStr">
        <is>
          <t>KUNGÄLV</t>
        </is>
      </c>
      <c r="H71" t="inlineStr">
        <is>
          <t>Kyrkan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46314</v>
      </c>
      <c r="F72" t="inlineStr">
        <is>
          <t>VÄSTRA GÖTALANDS LÄN</t>
        </is>
      </c>
      <c r="G72" t="inlineStr">
        <is>
          <t>KUNGÄLV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13990-2026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46314</v>
      </c>
      <c r="F73" t="inlineStr">
        <is>
          <t>VÄSTRA GÖTALANDS LÄN</t>
        </is>
      </c>
      <c r="G73" t="inlineStr">
        <is>
          <t>KUNGÄLV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71835-2021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46314</v>
      </c>
      <c r="F74" t="inlineStr">
        <is>
          <t>VÄSTRA GÖTALANDS LÄN</t>
        </is>
      </c>
      <c r="G74" t="inlineStr">
        <is>
          <t>KUNGÄLV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51724-2023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45222</v>
      </c>
      <c r="E75" s="1" t="n">
        <v>46314</v>
      </c>
      <c r="F75" t="inlineStr">
        <is>
          <t>VÄSTRA GÖTALANDS LÄN</t>
        </is>
      </c>
      <c r="G75" t="inlineStr">
        <is>
          <t>KUNGÄLV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46314</v>
      </c>
      <c r="F76" t="inlineStr">
        <is>
          <t>VÄSTRA GÖTALANDS LÄN</t>
        </is>
      </c>
      <c r="G76" t="inlineStr">
        <is>
          <t>KUNGÄLV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46314</v>
      </c>
      <c r="F77" t="inlineStr">
        <is>
          <t>VÄSTRA GÖTALANDS LÄN</t>
        </is>
      </c>
      <c r="G77" t="inlineStr">
        <is>
          <t>KUNGÄLV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45664</v>
      </c>
      <c r="E78" s="1" t="n">
        <v>46314</v>
      </c>
      <c r="F78" t="inlineStr">
        <is>
          <t>VÄSTRA GÖTALANDS LÄN</t>
        </is>
      </c>
      <c r="G78" t="inlineStr">
        <is>
          <t>KUNGÄLV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46211</v>
      </c>
      <c r="E79" s="1" t="n">
        <v>46314</v>
      </c>
      <c r="F79" t="inlineStr">
        <is>
          <t>VÄSTRA GÖTALANDS LÄN</t>
        </is>
      </c>
      <c r="G79" t="inlineStr">
        <is>
          <t>KUNGÄLV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46212</v>
      </c>
      <c r="E80" s="1" t="n">
        <v>46314</v>
      </c>
      <c r="F80" t="inlineStr">
        <is>
          <t>VÄSTRA GÖTALANDS LÄN</t>
        </is>
      </c>
      <c r="G80" t="inlineStr">
        <is>
          <t>KUNGÄLV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46314</v>
      </c>
      <c r="F81" t="inlineStr">
        <is>
          <t>VÄSTRA GÖTALANDS LÄN</t>
        </is>
      </c>
      <c r="G81" t="inlineStr">
        <is>
          <t>KUNGÄLV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46314</v>
      </c>
      <c r="F82" t="inlineStr">
        <is>
          <t>VÄSTRA GÖTALANDS LÄN</t>
        </is>
      </c>
      <c r="G82" t="inlineStr">
        <is>
          <t>KUNGÄLV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46281</v>
      </c>
      <c r="E83" s="1" t="n">
        <v>46314</v>
      </c>
      <c r="F83" t="inlineStr">
        <is>
          <t>VÄSTRA GÖTALANDS LÄN</t>
        </is>
      </c>
      <c r="G83" t="inlineStr">
        <is>
          <t>KUNGÄLV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46314</v>
      </c>
      <c r="F84" t="inlineStr">
        <is>
          <t>VÄSTRA GÖTALANDS LÄN</t>
        </is>
      </c>
      <c r="G84" t="inlineStr">
        <is>
          <t>KUNGÄLV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46314</v>
      </c>
      <c r="F85" t="inlineStr">
        <is>
          <t>VÄSTRA GÖTALANDS LÄN</t>
        </is>
      </c>
      <c r="G85" t="inlineStr">
        <is>
          <t>KUNGÄLV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45324</v>
      </c>
      <c r="E86" s="1" t="n">
        <v>46314</v>
      </c>
      <c r="F86" t="inlineStr">
        <is>
          <t>VÄSTRA GÖTALANDS LÄN</t>
        </is>
      </c>
      <c r="G86" t="inlineStr">
        <is>
          <t>KUNGÄLV</t>
        </is>
      </c>
      <c r="I86" t="n">
        <v>14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63319-2021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46314</v>
      </c>
      <c r="F87" t="inlineStr">
        <is>
          <t>VÄSTRA GÖTALANDS LÄN</t>
        </is>
      </c>
      <c r="G87" t="inlineStr">
        <is>
          <t>KUNGÄLV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46314</v>
      </c>
      <c r="F88" t="inlineStr">
        <is>
          <t>VÄSTRA GÖTALANDS LÄN</t>
        </is>
      </c>
      <c r="G88" t="inlineStr">
        <is>
          <t>KUNGÄLV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46254</v>
      </c>
      <c r="E89" s="1" t="n">
        <v>46314</v>
      </c>
      <c r="F89" t="inlineStr">
        <is>
          <t>VÄSTRA GÖTALANDS LÄN</t>
        </is>
      </c>
      <c r="G89" t="inlineStr">
        <is>
          <t>KUNGÄLV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46314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46314</v>
      </c>
      <c r="F91" t="inlineStr">
        <is>
          <t>VÄSTRA GÖTALANDS LÄN</t>
        </is>
      </c>
      <c r="G91" t="inlineStr">
        <is>
          <t>KUNGÄLV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41656-2026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46302</v>
      </c>
      <c r="E92" s="1" t="n">
        <v>46314</v>
      </c>
      <c r="F92" t="inlineStr">
        <is>
          <t>VÄSTRA GÖTALANDS LÄN</t>
        </is>
      </c>
      <c r="G92" t="inlineStr">
        <is>
          <t>KUNGÄLV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46314</v>
      </c>
      <c r="F93" t="inlineStr">
        <is>
          <t>VÄSTRA GÖTALANDS LÄN</t>
        </is>
      </c>
      <c r="G93" t="inlineStr">
        <is>
          <t>KUNGÄLV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46314</v>
      </c>
      <c r="F94" t="inlineStr">
        <is>
          <t>VÄSTRA GÖTALANDS LÄN</t>
        </is>
      </c>
      <c r="G94" t="inlineStr">
        <is>
          <t>KUNGÄLV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46314</v>
      </c>
      <c r="F95" t="inlineStr">
        <is>
          <t>VÄSTRA GÖTALANDS LÄN</t>
        </is>
      </c>
      <c r="G95" t="inlineStr">
        <is>
          <t>KUNGÄLV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74285-2021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44558</v>
      </c>
      <c r="E96" s="1" t="n">
        <v>46314</v>
      </c>
      <c r="F96" t="inlineStr">
        <is>
          <t>VÄSTRA GÖTALANDS LÄN</t>
        </is>
      </c>
      <c r="G96" t="inlineStr">
        <is>
          <t>KUNGÄLV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44916</v>
      </c>
      <c r="E97" s="1" t="n">
        <v>46314</v>
      </c>
      <c r="F97" t="inlineStr">
        <is>
          <t>VÄSTRA GÖTALANDS LÄN</t>
        </is>
      </c>
      <c r="G97" t="inlineStr">
        <is>
          <t>KUNGÄLV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46314</v>
      </c>
      <c r="F98" t="inlineStr">
        <is>
          <t>VÄSTRA GÖTALANDS LÄN</t>
        </is>
      </c>
      <c r="G98" t="inlineStr">
        <is>
          <t>KUNGÄLV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45124</v>
      </c>
      <c r="E99" s="1" t="n">
        <v>46314</v>
      </c>
      <c r="F99" t="inlineStr">
        <is>
          <t>VÄSTRA GÖTALANDS LÄN</t>
        </is>
      </c>
      <c r="G99" t="inlineStr">
        <is>
          <t>KUNGÄLV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45844</v>
      </c>
      <c r="E100" s="1" t="n">
        <v>46314</v>
      </c>
      <c r="F100" t="inlineStr">
        <is>
          <t>VÄSTRA GÖTALANDS LÄN</t>
        </is>
      </c>
      <c r="G100" t="inlineStr">
        <is>
          <t>KUNGÄLV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46314</v>
      </c>
      <c r="F101" t="inlineStr">
        <is>
          <t>VÄSTRA GÖTALANDS LÄN</t>
        </is>
      </c>
      <c r="G101" t="inlineStr">
        <is>
          <t>KUNGÄLV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46314</v>
      </c>
      <c r="F102" t="inlineStr">
        <is>
          <t>VÄSTRA GÖTALANDS LÄN</t>
        </is>
      </c>
      <c r="G102" t="inlineStr">
        <is>
          <t>KUNGÄLV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46314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2026-10-19T02:03:40Z</dcterms:created>
  <dcterms:modified xmlns:dcterms="http://purl.org/dc/terms/" xmlns:xsi="http://www.w3.org/2001/XMLSchema-instance" xsi:type="dcterms:W3CDTF">2026-10-19T02:03:40Z</dcterms:modified>
</cp:coreProperties>
</file>