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46232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46232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7</v>
      </c>
      <c r="T3" t="n">
        <v>11</v>
      </c>
      <c r="U3" t="n">
        <v>8</v>
      </c>
      <c r="V3" s="2" t="inlineStr">
        <is>
          <t>Entita
Grönsångare
Sädesärla
Vedtrappmossa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46232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6041-2025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45695</v>
      </c>
      <c r="E5" s="1" t="n">
        <v>46232</v>
      </c>
      <c r="F5" t="inlineStr">
        <is>
          <t>VÄSTRA GÖTALANDS LÄN</t>
        </is>
      </c>
      <c r="G5" t="inlineStr">
        <is>
          <t>KUNGÄLV</t>
        </is>
      </c>
      <c r="I5" t="n">
        <v>8.800000000000001</v>
      </c>
      <c r="J5" t="n">
        <v>3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Björktrast
Talltita
Blåmossa
Kambräken
Spillkråka</t>
        </is>
      </c>
      <c r="W5">
        <f>HYPERLINK("https://klasma.github.io/Logging_1482/artfynd/A 6041-2025 artfynd.xlsx", "A 6041-2025")</f>
        <v/>
      </c>
      <c r="X5">
        <f>HYPERLINK("https://klasma.github.io/Logging_1482/kartor/A 6041-2025 karta.png", "A 6041-2025")</f>
        <v/>
      </c>
      <c r="Y5">
        <f>HYPERLINK("https://klasma.github.io/Logging_1482/kartor_geotiff/A 6041-2025 georefererad karta.tif", "A 6041-2025")</f>
        <v/>
      </c>
      <c r="AA5">
        <f>HYPERLINK("https://klasma.github.io/Logging_1482/klagomål/A 6041-2025 FSC-klagomål.docx", "A 6041-2025")</f>
        <v/>
      </c>
      <c r="AB5">
        <f>HYPERLINK("https://klasma.github.io/Logging_1482/klagomålsmail/A 6041-2025 FSC-klagomål mail.docx", "A 6041-2025")</f>
        <v/>
      </c>
      <c r="AC5">
        <f>HYPERLINK("https://klasma.github.io/Logging_1482/tillsyn/A 6041-2025 tillsynsbegäran.docx", "A 6041-2025")</f>
        <v/>
      </c>
      <c r="AD5">
        <f>HYPERLINK("https://klasma.github.io/Logging_1482/tillsynsmail/A 6041-2025 tillsynsbegäran mail.docx", "A 6041-2025")</f>
        <v/>
      </c>
      <c r="AE5">
        <f>HYPERLINK("https://klasma.github.io/Logging_1482/fåglar/A 6041-2025 prioriterade fågelarter.docx", "A 6041-2025")</f>
        <v/>
      </c>
    </row>
    <row r="6" ht="15" customHeight="1">
      <c r="A6" t="inlineStr">
        <is>
          <t>A 45243-2025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45919</v>
      </c>
      <c r="E6" s="1" t="n">
        <v>46232</v>
      </c>
      <c r="F6" t="inlineStr">
        <is>
          <t>VÄSTRA GÖTALANDS LÄN</t>
        </is>
      </c>
      <c r="G6" t="inlineStr">
        <is>
          <t>KUNGÄLV</t>
        </is>
      </c>
      <c r="I6" t="n">
        <v>8.1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Gulsparv
Nordfladdermus
Större vattensalamander
Mindre vattensalamander
Revlummer</t>
        </is>
      </c>
      <c r="W6">
        <f>HYPERLINK("https://klasma.github.io/Logging_1482/artfynd/A 45243-2025 artfynd.xlsx", "A 45243-2025")</f>
        <v/>
      </c>
      <c r="X6">
        <f>HYPERLINK("https://klasma.github.io/Logging_1482/kartor/A 45243-2025 karta.png", "A 45243-2025")</f>
        <v/>
      </c>
      <c r="Y6">
        <f>HYPERLINK("https://klasma.github.io/Logging_1482/kartor_geotiff/A 45243-2025 georefererad karta.tif", "A 45243-2025")</f>
        <v/>
      </c>
      <c r="AA6">
        <f>HYPERLINK("https://klasma.github.io/Logging_1482/klagomål/A 45243-2025 FSC-klagomål.docx", "A 45243-2025")</f>
        <v/>
      </c>
      <c r="AB6">
        <f>HYPERLINK("https://klasma.github.io/Logging_1482/klagomålsmail/A 45243-2025 FSC-klagomål mail.docx", "A 45243-2025")</f>
        <v/>
      </c>
      <c r="AC6">
        <f>HYPERLINK("https://klasma.github.io/Logging_1482/tillsyn/A 45243-2025 tillsynsbegäran.docx", "A 45243-2025")</f>
        <v/>
      </c>
      <c r="AD6">
        <f>HYPERLINK("https://klasma.github.io/Logging_1482/tillsynsmail/A 45243-2025 tillsynsbegäran mail.docx", "A 45243-2025")</f>
        <v/>
      </c>
      <c r="AE6">
        <f>HYPERLINK("https://klasma.github.io/Logging_1482/fåglar/A 45243-2025 prioriterade fågelarter.docx", "A 45243-2025")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46232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46232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Gulsparv
Spillkråka
Revlummer</t>
        </is>
      </c>
      <c r="W8">
        <f>HYPERLINK("https://klasma.github.io/Logging_1482/artfynd/A 8558-2024 artfynd.xlsx", "A 8558-2024")</f>
        <v/>
      </c>
      <c r="X8">
        <f>HYPERLINK("https://klasma.github.io/Logging_1482/kartor/A 8558-2024 karta.png", "A 8558-2024")</f>
        <v/>
      </c>
      <c r="Y8">
        <f>HYPERLINK("https://klasma.github.io/Logging_1482/kartor_geotiff/A 8558-2024 georefererad karta.tif", "A 8558-2024")</f>
        <v/>
      </c>
      <c r="AA8">
        <f>HYPERLINK("https://klasma.github.io/Logging_1482/klagomål/A 8558-2024 FSC-klagomål.docx", "A 8558-2024")</f>
        <v/>
      </c>
      <c r="AB8">
        <f>HYPERLINK("https://klasma.github.io/Logging_1482/klagomålsmail/A 8558-2024 FSC-klagomål mail.docx", "A 8558-2024")</f>
        <v/>
      </c>
      <c r="AC8">
        <f>HYPERLINK("https://klasma.github.io/Logging_1482/tillsyn/A 8558-2024 tillsynsbegäran.docx", "A 8558-2024")</f>
        <v/>
      </c>
      <c r="AD8">
        <f>HYPERLINK("https://klasma.github.io/Logging_1482/tillsynsmail/A 8558-2024 tillsynsbegäran mail.docx", "A 8558-2024")</f>
        <v/>
      </c>
      <c r="AE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45957</v>
      </c>
      <c r="E9" s="1" t="n">
        <v>46232</v>
      </c>
      <c r="F9" t="inlineStr">
        <is>
          <t>VÄSTRA GÖTALANDS LÄN</t>
        </is>
      </c>
      <c r="G9" t="inlineStr">
        <is>
          <t>KUNGÄLV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Kambräken
Västlig hakmossa
Spillkråka</t>
        </is>
      </c>
      <c r="W9">
        <f>HYPERLINK("https://klasma.github.io/Logging_1482/artfynd/A 53008-2025 artfynd.xlsx", "A 53008-2025")</f>
        <v/>
      </c>
      <c r="X9">
        <f>HYPERLINK("https://klasma.github.io/Logging_1482/kartor/A 53008-2025 karta.png", "A 53008-2025")</f>
        <v/>
      </c>
      <c r="Y9">
        <f>HYPERLINK("https://klasma.github.io/Logging_1482/kartor_geotiff/A 53008-2025 georefererad karta.tif", "A 53008-2025")</f>
        <v/>
      </c>
      <c r="AA9">
        <f>HYPERLINK("https://klasma.github.io/Logging_1482/klagomål/A 53008-2025 FSC-klagomål.docx", "A 53008-2025")</f>
        <v/>
      </c>
      <c r="AB9">
        <f>HYPERLINK("https://klasma.github.io/Logging_1482/klagomålsmail/A 53008-2025 FSC-klagomål mail.docx", "A 53008-2025")</f>
        <v/>
      </c>
      <c r="AC9">
        <f>HYPERLINK("https://klasma.github.io/Logging_1482/tillsyn/A 53008-2025 tillsynsbegäran.docx", "A 53008-2025")</f>
        <v/>
      </c>
      <c r="AD9">
        <f>HYPERLINK("https://klasma.github.io/Logging_1482/tillsynsmail/A 53008-2025 tillsynsbegäran mail.docx", "A 53008-2025")</f>
        <v/>
      </c>
      <c r="AE9">
        <f>HYPERLINK("https://klasma.github.io/Logging_1482/fåglar/A 53008-2025 prioriterade fågelarter.docx", "A 53008-2025")</f>
        <v/>
      </c>
    </row>
    <row r="10" ht="15" customHeight="1">
      <c r="A10" t="inlineStr">
        <is>
          <t>A 48345-2021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46232</v>
      </c>
      <c r="F10" t="inlineStr">
        <is>
          <t>VÄSTRA GÖTALANDS LÄN</t>
        </is>
      </c>
      <c r="G10" t="inlineStr">
        <is>
          <t>KUNGÄLV</t>
        </is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Blåmossa
Spillkråka
Revlummer</t>
        </is>
      </c>
      <c r="W10">
        <f>HYPERLINK("https://klasma.github.io/Logging_1482/artfynd/A 48345-2021 artfynd.xlsx", "A 48345-2021")</f>
        <v/>
      </c>
      <c r="X10">
        <f>HYPERLINK("https://klasma.github.io/Logging_1482/kartor/A 48345-2021 karta.png", "A 48345-2021")</f>
        <v/>
      </c>
      <c r="Y10">
        <f>HYPERLINK("https://klasma.github.io/Logging_1482/kartor_geotiff/A 48345-2021 georefererad karta.tif", "A 48345-2021")</f>
        <v/>
      </c>
      <c r="AA10">
        <f>HYPERLINK("https://klasma.github.io/Logging_1482/klagomål/A 48345-2021 FSC-klagomål.docx", "A 48345-2021")</f>
        <v/>
      </c>
      <c r="AB10">
        <f>HYPERLINK("https://klasma.github.io/Logging_1482/klagomålsmail/A 48345-2021 FSC-klagomål mail.docx", "A 48345-2021")</f>
        <v/>
      </c>
      <c r="AC10">
        <f>HYPERLINK("https://klasma.github.io/Logging_1482/tillsyn/A 48345-2021 tillsynsbegäran.docx", "A 48345-2021")</f>
        <v/>
      </c>
      <c r="AD10">
        <f>HYPERLINK("https://klasma.github.io/Logging_1482/tillsynsmail/A 48345-2021 tillsynsbegäran mail.docx", "A 48345-2021")</f>
        <v/>
      </c>
      <c r="AE10">
        <f>HYPERLINK("https://klasma.github.io/Logging_1482/fåglar/A 48345-2021 prioriterade fågelarter.docx", "A 48345-2021")</f>
        <v/>
      </c>
    </row>
    <row r="11" ht="15" customHeight="1">
      <c r="A11" t="inlineStr">
        <is>
          <t>A 58408-2025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46232</v>
      </c>
      <c r="F11" t="inlineStr">
        <is>
          <t>VÄSTRA GÖTALANDS LÄN</t>
        </is>
      </c>
      <c r="G11" t="inlineStr">
        <is>
          <t>KUNGÄLV</t>
        </is>
      </c>
      <c r="I11" t="n">
        <v>8.1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Älg
Spillkråka
Revlummer</t>
        </is>
      </c>
      <c r="W11">
        <f>HYPERLINK("https://klasma.github.io/Logging_1482/artfynd/A 58408-2025 artfynd.xlsx", "A 58408-2025")</f>
        <v/>
      </c>
      <c r="X11">
        <f>HYPERLINK("https://klasma.github.io/Logging_1482/kartor/A 58408-2025 karta.png", "A 58408-2025")</f>
        <v/>
      </c>
      <c r="Y11">
        <f>HYPERLINK("https://klasma.github.io/Logging_1482/kartor_geotiff/A 58408-2025 georefererad karta.tif", "A 58408-2025")</f>
        <v/>
      </c>
      <c r="AA11">
        <f>HYPERLINK("https://klasma.github.io/Logging_1482/klagomål/A 58408-2025 FSC-klagomål.docx", "A 58408-2025")</f>
        <v/>
      </c>
      <c r="AB11">
        <f>HYPERLINK("https://klasma.github.io/Logging_1482/klagomålsmail/A 58408-2025 FSC-klagomål mail.docx", "A 58408-2025")</f>
        <v/>
      </c>
      <c r="AC11">
        <f>HYPERLINK("https://klasma.github.io/Logging_1482/tillsyn/A 58408-2025 tillsynsbegäran.docx", "A 58408-2025")</f>
        <v/>
      </c>
      <c r="AD11">
        <f>HYPERLINK("https://klasma.github.io/Logging_1482/tillsynsmail/A 58408-2025 tillsynsbegäran mail.docx", "A 58408-2025")</f>
        <v/>
      </c>
      <c r="AE11">
        <f>HYPERLINK("https://klasma.github.io/Logging_1482/fåglar/A 58408-2025 prioriterade fågelarter.docx", "A 58408-2025")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46232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Blåsippa
Spillkråka
Skogsödla</t>
        </is>
      </c>
      <c r="W12">
        <f>HYPERLINK("https://klasma.github.io/Logging_1482/artfynd/A 29061-2026 artfynd.xlsx", "A 29061-2026")</f>
        <v/>
      </c>
      <c r="X12">
        <f>HYPERLINK("https://klasma.github.io/Logging_1482/kartor/A 29061-2026 karta.png", "A 29061-2026")</f>
        <v/>
      </c>
      <c r="Y12">
        <f>HYPERLINK("https://klasma.github.io/Logging_1482/kartor_geotiff/A 29061-2026 georefererad karta.tif", "A 29061-2026")</f>
        <v/>
      </c>
      <c r="AA12">
        <f>HYPERLINK("https://klasma.github.io/Logging_1482/klagomål/A 29061-2026 FSC-klagomål.docx", "A 29061-2026")</f>
        <v/>
      </c>
      <c r="AB12">
        <f>HYPERLINK("https://klasma.github.io/Logging_1482/klagomålsmail/A 29061-2026 FSC-klagomål mail.docx", "A 29061-2026")</f>
        <v/>
      </c>
      <c r="AC12">
        <f>HYPERLINK("https://klasma.github.io/Logging_1482/tillsyn/A 29061-2026 tillsynsbegäran.docx", "A 29061-2026")</f>
        <v/>
      </c>
      <c r="AD12">
        <f>HYPERLINK("https://klasma.github.io/Logging_1482/tillsynsmail/A 29061-2026 tillsynsbegäran mail.docx", "A 29061-2026")</f>
        <v/>
      </c>
      <c r="AE12">
        <f>HYPERLINK("https://klasma.github.io/Logging_1482/fåglar/A 29061-2026 prioriterade fågelarter.docx", "A 29061-2026")</f>
        <v/>
      </c>
    </row>
    <row r="13" ht="15" customHeight="1">
      <c r="A13" t="inlineStr">
        <is>
          <t>A 56394-2025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45974</v>
      </c>
      <c r="E13" s="1" t="n">
        <v>46232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Kambräken
Revlummer</t>
        </is>
      </c>
      <c r="W13">
        <f>HYPERLINK("https://klasma.github.io/Logging_1482/artfynd/A 56394-2025 artfynd.xlsx", "A 56394-2025")</f>
        <v/>
      </c>
      <c r="X13">
        <f>HYPERLINK("https://klasma.github.io/Logging_1482/kartor/A 56394-2025 karta.png", "A 56394-2025")</f>
        <v/>
      </c>
      <c r="Y13">
        <f>HYPERLINK("https://klasma.github.io/Logging_1482/kartor_geotiff/A 56394-2025 georefererad karta.tif", "A 56394-2025")</f>
        <v/>
      </c>
      <c r="AA13">
        <f>HYPERLINK("https://klasma.github.io/Logging_1482/klagomål/A 56394-2025 FSC-klagomål.docx", "A 56394-2025")</f>
        <v/>
      </c>
      <c r="AB13">
        <f>HYPERLINK("https://klasma.github.io/Logging_1482/klagomålsmail/A 56394-2025 FSC-klagomål mail.docx", "A 56394-2025")</f>
        <v/>
      </c>
      <c r="AC13">
        <f>HYPERLINK("https://klasma.github.io/Logging_1482/tillsyn/A 56394-2025 tillsynsbegäran.docx", "A 56394-2025")</f>
        <v/>
      </c>
      <c r="AD13">
        <f>HYPERLINK("https://klasma.github.io/Logging_1482/tillsynsmail/A 56394-2025 tillsynsbegäran mail.docx", "A 56394-2025")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46232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Västlig hakmossa
Spillkråka</t>
        </is>
      </c>
      <c r="W14">
        <f>HYPERLINK("https://klasma.github.io/Logging_1482/artfynd/A 57116-2025 artfynd.xlsx", "A 57116-2025")</f>
        <v/>
      </c>
      <c r="X14">
        <f>HYPERLINK("https://klasma.github.io/Logging_1482/kartor/A 57116-2025 karta.png", "A 57116-2025")</f>
        <v/>
      </c>
      <c r="Y14">
        <f>HYPERLINK("https://klasma.github.io/Logging_1482/kartor_geotiff/A 57116-2025 georefererad karta.tif", "A 57116-2025")</f>
        <v/>
      </c>
      <c r="AA14">
        <f>HYPERLINK("https://klasma.github.io/Logging_1482/klagomål/A 57116-2025 FSC-klagomål.docx", "A 57116-2025")</f>
        <v/>
      </c>
      <c r="AB14">
        <f>HYPERLINK("https://klasma.github.io/Logging_1482/klagomålsmail/A 57116-2025 FSC-klagomål mail.docx", "A 57116-2025")</f>
        <v/>
      </c>
      <c r="AC14">
        <f>HYPERLINK("https://klasma.github.io/Logging_1482/tillsyn/A 57116-2025 tillsynsbegäran.docx", "A 57116-2025")</f>
        <v/>
      </c>
      <c r="AD14">
        <f>HYPERLINK("https://klasma.github.io/Logging_1482/tillsynsmail/A 57116-2025 tillsynsbegäran mail.docx", "A 57116-2025")</f>
        <v/>
      </c>
      <c r="AE14">
        <f>HYPERLINK("https://klasma.github.io/Logging_1482/fåglar/A 57116-2025 prioriterade fågelarter.docx", "A 57116-2025")</f>
        <v/>
      </c>
    </row>
    <row r="15" ht="15" customHeight="1">
      <c r="A15" t="inlineStr">
        <is>
          <t>A 53007-2025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46232</v>
      </c>
      <c r="F15" t="inlineStr">
        <is>
          <t>VÄSTRA GÖTALANDS LÄN</t>
        </is>
      </c>
      <c r="G15" t="inlineStr">
        <is>
          <t>KUNGÄLV</t>
        </is>
      </c>
      <c r="I15" t="n">
        <v>2.9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Västlig hakmossa
Spillkråka</t>
        </is>
      </c>
      <c r="W15">
        <f>HYPERLINK("https://klasma.github.io/Logging_1482/artfynd/A 53007-2025 artfynd.xlsx", "A 53007-2025")</f>
        <v/>
      </c>
      <c r="X15">
        <f>HYPERLINK("https://klasma.github.io/Logging_1482/kartor/A 53007-2025 karta.png", "A 53007-2025")</f>
        <v/>
      </c>
      <c r="Y15">
        <f>HYPERLINK("https://klasma.github.io/Logging_1482/kartor_geotiff/A 53007-2025 georefererad karta.tif", "A 53007-2025")</f>
        <v/>
      </c>
      <c r="AA15">
        <f>HYPERLINK("https://klasma.github.io/Logging_1482/klagomål/A 53007-2025 FSC-klagomål.docx", "A 53007-2025")</f>
        <v/>
      </c>
      <c r="AB15">
        <f>HYPERLINK("https://klasma.github.io/Logging_1482/klagomålsmail/A 53007-2025 FSC-klagomål mail.docx", "A 53007-2025")</f>
        <v/>
      </c>
      <c r="AC15">
        <f>HYPERLINK("https://klasma.github.io/Logging_1482/tillsyn/A 53007-2025 tillsynsbegäran.docx", "A 53007-2025")</f>
        <v/>
      </c>
      <c r="AD15">
        <f>HYPERLINK("https://klasma.github.io/Logging_1482/tillsynsmail/A 53007-2025 tillsynsbegäran mail.docx", "A 53007-2025")</f>
        <v/>
      </c>
      <c r="AE15">
        <f>HYPERLINK("https://klasma.github.io/Logging_1482/fåglar/A 53007-2025 prioriterade fågelarter.docx", "A 53007-2025")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46232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46232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6082-2025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45697</v>
      </c>
      <c r="E18" s="1" t="n">
        <v>46232</v>
      </c>
      <c r="F18" t="inlineStr">
        <is>
          <t>VÄSTRA GÖTALANDS LÄN</t>
        </is>
      </c>
      <c r="G18" t="inlineStr">
        <is>
          <t>KUNGÄLV</t>
        </is>
      </c>
      <c r="I18" t="n">
        <v>2.8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HYPERLINK("https://klasma.github.io/Logging_1482/artfynd/A 6082-2025 artfynd.xlsx", "A 6082-2025")</f>
        <v/>
      </c>
      <c r="X18">
        <f>HYPERLINK("https://klasma.github.io/Logging_1482/kartor/A 6082-2025 karta.png", "A 6082-2025")</f>
        <v/>
      </c>
      <c r="Y18">
        <f>HYPERLINK("https://klasma.github.io/Logging_1482/kartor_geotiff/A 6082-2025 georefererad karta.tif", "A 6082-2025")</f>
        <v/>
      </c>
      <c r="AA18">
        <f>HYPERLINK("https://klasma.github.io/Logging_1482/klagomål/A 6082-2025 FSC-klagomål.docx", "A 6082-2025")</f>
        <v/>
      </c>
      <c r="AB18">
        <f>HYPERLINK("https://klasma.github.io/Logging_1482/klagomålsmail/A 6082-2025 FSC-klagomål mail.docx", "A 6082-2025")</f>
        <v/>
      </c>
      <c r="AC18">
        <f>HYPERLINK("https://klasma.github.io/Logging_1482/tillsyn/A 6082-2025 tillsynsbegäran.docx", "A 6082-2025")</f>
        <v/>
      </c>
      <c r="AD18">
        <f>HYPERLINK("https://klasma.github.io/Logging_1482/tillsynsmail/A 6082-2025 tillsynsbegäran mail.docx", "A 6082-2025")</f>
        <v/>
      </c>
      <c r="AE18">
        <f>HYPERLINK("https://klasma.github.io/Logging_1482/fåglar/A 6082-2025 prioriterade fågelarter.docx", "A 6082-2025")</f>
        <v/>
      </c>
    </row>
    <row r="19" ht="15" customHeight="1">
      <c r="A19" t="inlineStr">
        <is>
          <t>A 23704-2024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45454</v>
      </c>
      <c r="E19" s="1" t="n">
        <v>46232</v>
      </c>
      <c r="F19" t="inlineStr">
        <is>
          <t>VÄSTRA GÖTALANDS LÄN</t>
        </is>
      </c>
      <c r="G19" t="inlineStr">
        <is>
          <t>KUNGÄLV</t>
        </is>
      </c>
      <c r="I19" t="n">
        <v>4.9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Hedjohannesört</t>
        </is>
      </c>
      <c r="W19">
        <f>HYPERLINK("https://klasma.github.io/Logging_1482/artfynd/A 23704-2024 artfynd.xlsx", "A 23704-2024")</f>
        <v/>
      </c>
      <c r="X19">
        <f>HYPERLINK("https://klasma.github.io/Logging_1482/kartor/A 23704-2024 karta.png", "A 23704-2024")</f>
        <v/>
      </c>
      <c r="Y19">
        <f>HYPERLINK("https://klasma.github.io/Logging_1482/kartor_geotiff/A 23704-2024 georefererad karta.tif", "A 23704-2024")</f>
        <v/>
      </c>
      <c r="AA19">
        <f>HYPERLINK("https://klasma.github.io/Logging_1482/klagomål/A 23704-2024 FSC-klagomål.docx", "A 23704-2024")</f>
        <v/>
      </c>
      <c r="AB19">
        <f>HYPERLINK("https://klasma.github.io/Logging_1482/klagomålsmail/A 23704-2024 FSC-klagomål mail.docx", "A 23704-2024")</f>
        <v/>
      </c>
      <c r="AC19">
        <f>HYPERLINK("https://klasma.github.io/Logging_1482/tillsyn/A 23704-2024 tillsynsbegäran.docx", "A 23704-2024")</f>
        <v/>
      </c>
      <c r="AD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46232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46232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30860-2026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46232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Grönsångare</t>
        </is>
      </c>
      <c r="W22">
        <f>HYPERLINK("https://klasma.github.io/Logging_1482/artfynd/A 30860-2026 artfynd.xlsx", "A 30860-2026")</f>
        <v/>
      </c>
      <c r="X22">
        <f>HYPERLINK("https://klasma.github.io/Logging_1482/kartor/A 30860-2026 karta.png", "A 30860-2026")</f>
        <v/>
      </c>
      <c r="Y22">
        <f>HYPERLINK("https://klasma.github.io/Logging_1482/kartor_geotiff/A 30860-2026 georefererad karta.tif", "A 30860-2026")</f>
        <v/>
      </c>
      <c r="AA22">
        <f>HYPERLINK("https://klasma.github.io/Logging_1482/klagomål/A 30860-2026 FSC-klagomål.docx", "A 30860-2026")</f>
        <v/>
      </c>
      <c r="AB22">
        <f>HYPERLINK("https://klasma.github.io/Logging_1482/klagomålsmail/A 30860-2026 FSC-klagomål mail.docx", "A 30860-2026")</f>
        <v/>
      </c>
      <c r="AC22">
        <f>HYPERLINK("https://klasma.github.io/Logging_1482/tillsyn/A 30860-2026 tillsynsbegäran.docx", "A 30860-2026")</f>
        <v/>
      </c>
      <c r="AD22">
        <f>HYPERLINK("https://klasma.github.io/Logging_1482/tillsynsmail/A 30860-2026 tillsynsbegäran mail.docx", "A 30860-2026")</f>
        <v/>
      </c>
      <c r="AE22">
        <f>HYPERLINK("https://klasma.github.io/Logging_1482/fåglar/A 30860-2026 prioriterade fågelarter.docx", "A 30860-2026")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46232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46232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46232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46232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46232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46232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46232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46232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46232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46232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46232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46232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17455-2025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45757</v>
      </c>
      <c r="E35" s="1" t="n">
        <v>46232</v>
      </c>
      <c r="F35" t="inlineStr">
        <is>
          <t>VÄSTRA GÖTALANDS LÄN</t>
        </is>
      </c>
      <c r="G35" t="inlineStr">
        <is>
          <t>KUNGÄLV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46232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21240-2023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45058</v>
      </c>
      <c r="E37" s="1" t="n">
        <v>46232</v>
      </c>
      <c r="F37" t="inlineStr">
        <is>
          <t>VÄSTRA GÖTALANDS LÄN</t>
        </is>
      </c>
      <c r="G37" t="inlineStr">
        <is>
          <t>KUNGÄLV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29223-2024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45482</v>
      </c>
      <c r="E38" s="1" t="n">
        <v>46232</v>
      </c>
      <c r="F38" t="inlineStr">
        <is>
          <t>VÄSTRA GÖTALANDS LÄN</t>
        </is>
      </c>
      <c r="G38" t="inlineStr">
        <is>
          <t>KUNGÄLV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44624</v>
      </c>
      <c r="E39" s="1" t="n">
        <v>46232</v>
      </c>
      <c r="F39" t="inlineStr">
        <is>
          <t>VÄSTRA GÖTALANDS LÄN</t>
        </is>
      </c>
      <c r="G39" t="inlineStr">
        <is>
          <t>KUNGÄLV</t>
        </is>
      </c>
      <c r="I39" t="n">
        <v>13.3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39714-2024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45552</v>
      </c>
      <c r="E40" s="1" t="n">
        <v>46232</v>
      </c>
      <c r="F40" t="inlineStr">
        <is>
          <t>VÄSTRA GÖTALANDS LÄN</t>
        </is>
      </c>
      <c r="G40" t="inlineStr">
        <is>
          <t>KUNGÄLV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46232</v>
      </c>
      <c r="F41" t="inlineStr">
        <is>
          <t>VÄSTRA GÖTALANDS LÄN</t>
        </is>
      </c>
      <c r="G41" t="inlineStr">
        <is>
          <t>KUNGÄLV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61417-2022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44916</v>
      </c>
      <c r="E42" s="1" t="n">
        <v>46232</v>
      </c>
      <c r="F42" t="inlineStr">
        <is>
          <t>VÄSTRA GÖTALANDS LÄN</t>
        </is>
      </c>
      <c r="G42" t="inlineStr">
        <is>
          <t>KUNGÄLV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5705-2025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45694</v>
      </c>
      <c r="E43" s="1" t="n">
        <v>46232</v>
      </c>
      <c r="F43" t="inlineStr">
        <is>
          <t>VÄSTRA GÖTALANDS LÄN</t>
        </is>
      </c>
      <c r="G43" t="inlineStr">
        <is>
          <t>KUNGÄLV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45120</v>
      </c>
      <c r="E44" s="1" t="n">
        <v>46232</v>
      </c>
      <c r="F44" t="inlineStr">
        <is>
          <t>VÄSTRA GÖTALANDS LÄN</t>
        </is>
      </c>
      <c r="G44" t="inlineStr">
        <is>
          <t>KUNGÄLV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32847-2023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45124</v>
      </c>
      <c r="E45" s="1" t="n">
        <v>46232</v>
      </c>
      <c r="F45" t="inlineStr">
        <is>
          <t>VÄSTRA GÖTALANDS LÄN</t>
        </is>
      </c>
      <c r="G45" t="inlineStr">
        <is>
          <t>KUNGÄLV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7505-2024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45347</v>
      </c>
      <c r="E46" s="1" t="n">
        <v>46232</v>
      </c>
      <c r="F46" t="inlineStr">
        <is>
          <t>VÄSTRA GÖTALANDS LÄN</t>
        </is>
      </c>
      <c r="G46" t="inlineStr">
        <is>
          <t>KUNGÄLV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46232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44792</v>
      </c>
      <c r="E48" s="1" t="n">
        <v>46232</v>
      </c>
      <c r="F48" t="inlineStr">
        <is>
          <t>VÄSTRA GÖTALANDS LÄN</t>
        </is>
      </c>
      <c r="G48" t="inlineStr">
        <is>
          <t>KUNGÄLV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8334-2023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44975</v>
      </c>
      <c r="E49" s="1" t="n">
        <v>46232</v>
      </c>
      <c r="F49" t="inlineStr">
        <is>
          <t>VÄSTRA GÖTALANDS LÄN</t>
        </is>
      </c>
      <c r="G49" t="inlineStr">
        <is>
          <t>KUNGÄLV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46232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34244-2025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45844</v>
      </c>
      <c r="E51" s="1" t="n">
        <v>46232</v>
      </c>
      <c r="F51" t="inlineStr">
        <is>
          <t>VÄSTRA GÖTALANDS LÄN</t>
        </is>
      </c>
      <c r="G51" t="inlineStr">
        <is>
          <t>KUNGÄLV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46232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25624-2025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46232</v>
      </c>
      <c r="F53" t="inlineStr">
        <is>
          <t>VÄSTRA GÖTALANDS LÄN</t>
        </is>
      </c>
      <c r="G53" t="inlineStr">
        <is>
          <t>KUNGÄLV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4673-2026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46048</v>
      </c>
      <c r="E54" s="1" t="n">
        <v>46232</v>
      </c>
      <c r="F54" t="inlineStr">
        <is>
          <t>VÄSTRA GÖTALANDS LÄN</t>
        </is>
      </c>
      <c r="G54" t="inlineStr">
        <is>
          <t>KUNGÄLV</t>
        </is>
      </c>
      <c r="I54" t="n">
        <v>8.199999999999999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41442-2025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45869</v>
      </c>
      <c r="E55" s="1" t="n">
        <v>46232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6946-2026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46057</v>
      </c>
      <c r="E56" s="1" t="n">
        <v>46232</v>
      </c>
      <c r="F56" t="inlineStr">
        <is>
          <t>VÄSTRA GÖTALANDS LÄN</t>
        </is>
      </c>
      <c r="G56" t="inlineStr">
        <is>
          <t>KUNGÄLV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45758</v>
      </c>
      <c r="E57" s="1" t="n">
        <v>46232</v>
      </c>
      <c r="F57" t="inlineStr">
        <is>
          <t>VÄSTRA GÖTALANDS LÄN</t>
        </is>
      </c>
      <c r="G57" t="inlineStr">
        <is>
          <t>KUNGÄLV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46232</v>
      </c>
      <c r="F58" t="inlineStr">
        <is>
          <t>VÄSTRA GÖTALANDS LÄN</t>
        </is>
      </c>
      <c r="G58" t="inlineStr">
        <is>
          <t>KUNGÄLV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46232</v>
      </c>
      <c r="F59" t="inlineStr">
        <is>
          <t>VÄSTRA GÖTALANDS LÄN</t>
        </is>
      </c>
      <c r="G59" t="inlineStr">
        <is>
          <t>KUNGÄLV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44894</v>
      </c>
      <c r="E60" s="1" t="n">
        <v>46232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45308</v>
      </c>
      <c r="E61" s="1" t="n">
        <v>46232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44757</v>
      </c>
      <c r="E62" s="1" t="n">
        <v>46232</v>
      </c>
      <c r="F62" t="inlineStr">
        <is>
          <t>VÄSTRA GÖTALANDS LÄN</t>
        </is>
      </c>
      <c r="G62" t="inlineStr">
        <is>
          <t>KUNGÄLV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44989</v>
      </c>
      <c r="E63" s="1" t="n">
        <v>46232</v>
      </c>
      <c r="F63" t="inlineStr">
        <is>
          <t>VÄSTRA GÖTALANDS LÄN</t>
        </is>
      </c>
      <c r="G63" t="inlineStr">
        <is>
          <t>KUNGÄLV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37443-2025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45877</v>
      </c>
      <c r="E64" s="1" t="n">
        <v>46232</v>
      </c>
      <c r="F64" t="inlineStr">
        <is>
          <t>VÄSTRA GÖTALANDS LÄN</t>
        </is>
      </c>
      <c r="G64" t="inlineStr">
        <is>
          <t>KUNGÄLV</t>
        </is>
      </c>
      <c r="H64" t="inlineStr">
        <is>
          <t>Kyrkan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45324</v>
      </c>
      <c r="E65" s="1" t="n">
        <v>46232</v>
      </c>
      <c r="F65" t="inlineStr">
        <is>
          <t>VÄSTRA GÖTALANDS LÄN</t>
        </is>
      </c>
      <c r="G65" t="inlineStr">
        <is>
          <t>KUNGÄLV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46098</v>
      </c>
      <c r="E66" s="1" t="n">
        <v>46232</v>
      </c>
      <c r="F66" t="inlineStr">
        <is>
          <t>VÄSTRA GÖTALANDS LÄN</t>
        </is>
      </c>
      <c r="G66" t="inlineStr">
        <is>
          <t>KUNGÄLV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46232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62979-2023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45271</v>
      </c>
      <c r="E68" s="1" t="n">
        <v>46232</v>
      </c>
      <c r="F68" t="inlineStr">
        <is>
          <t>VÄSTRA GÖTALANDS LÄN</t>
        </is>
      </c>
      <c r="G68" t="inlineStr">
        <is>
          <t>KUNGÄLV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44176-2023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45188</v>
      </c>
      <c r="E69" s="1" t="n">
        <v>46232</v>
      </c>
      <c r="F69" t="inlineStr">
        <is>
          <t>VÄSTRA GÖTALANDS LÄN</t>
        </is>
      </c>
      <c r="G69" t="inlineStr">
        <is>
          <t>KUNGÄLV</t>
        </is>
      </c>
      <c r="I69" t="n">
        <v>7.1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45470</v>
      </c>
      <c r="E70" s="1" t="n">
        <v>46232</v>
      </c>
      <c r="F70" t="inlineStr">
        <is>
          <t>VÄSTRA GÖTALANDS LÄN</t>
        </is>
      </c>
      <c r="G70" t="inlineStr">
        <is>
          <t>KUNGÄLV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46232</v>
      </c>
      <c r="F71" t="inlineStr">
        <is>
          <t>VÄSTRA GÖTALANDS LÄN</t>
        </is>
      </c>
      <c r="G71" t="inlineStr">
        <is>
          <t>KUNGÄLV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45426</v>
      </c>
      <c r="E72" s="1" t="n">
        <v>46232</v>
      </c>
      <c r="F72" t="inlineStr">
        <is>
          <t>VÄSTRA GÖTALANDS LÄN</t>
        </is>
      </c>
      <c r="G72" t="inlineStr">
        <is>
          <t>KUNGÄLV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46232</v>
      </c>
      <c r="F73" t="inlineStr">
        <is>
          <t>VÄSTRA GÖTALANDS LÄN</t>
        </is>
      </c>
      <c r="G73" t="inlineStr">
        <is>
          <t>KUNGÄLV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46232</v>
      </c>
      <c r="F74" t="inlineStr">
        <is>
          <t>VÄSTRA GÖTALANDS LÄN</t>
        </is>
      </c>
      <c r="G74" t="inlineStr">
        <is>
          <t>KUNGÄLV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46232</v>
      </c>
      <c r="F75" t="inlineStr">
        <is>
          <t>VÄSTRA GÖTALANDS LÄN</t>
        </is>
      </c>
      <c r="G75" t="inlineStr">
        <is>
          <t>KUNGÄLV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45751</v>
      </c>
      <c r="E76" s="1" t="n">
        <v>46232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45990-2022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44846</v>
      </c>
      <c r="E77" s="1" t="n">
        <v>46232</v>
      </c>
      <c r="F77" t="inlineStr">
        <is>
          <t>VÄSTRA GÖTALANDS LÄN</t>
        </is>
      </c>
      <c r="G77" t="inlineStr">
        <is>
          <t>KUNGÄLV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45931</v>
      </c>
      <c r="E78" s="1" t="n">
        <v>46232</v>
      </c>
      <c r="F78" t="inlineStr">
        <is>
          <t>VÄSTRA GÖTALANDS LÄN</t>
        </is>
      </c>
      <c r="G78" t="inlineStr">
        <is>
          <t>KUNGÄLV</t>
        </is>
      </c>
      <c r="I78" t="n">
        <v>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44928</v>
      </c>
      <c r="E79" s="1" t="n">
        <v>46232</v>
      </c>
      <c r="F79" t="inlineStr">
        <is>
          <t>VÄSTRA GÖTALANDS LÄN</t>
        </is>
      </c>
      <c r="G79" t="inlineStr">
        <is>
          <t>KUNGÄLV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45426</v>
      </c>
      <c r="E80" s="1" t="n">
        <v>46232</v>
      </c>
      <c r="F80" t="inlineStr">
        <is>
          <t>VÄSTRA GÖTALANDS LÄN</t>
        </is>
      </c>
      <c r="G80" t="inlineStr">
        <is>
          <t>KUNGÄLV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44543</v>
      </c>
      <c r="E81" s="1" t="n">
        <v>46232</v>
      </c>
      <c r="F81" t="inlineStr">
        <is>
          <t>VÄSTRA GÖTALANDS LÄN</t>
        </is>
      </c>
      <c r="G81" t="inlineStr">
        <is>
          <t>KUNGÄLV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46232</v>
      </c>
      <c r="F82" t="inlineStr">
        <is>
          <t>VÄSTRA GÖTALANDS LÄN</t>
        </is>
      </c>
      <c r="G82" t="inlineStr">
        <is>
          <t>KUNGÄLV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46157</v>
      </c>
      <c r="E83" s="1" t="n">
        <v>46232</v>
      </c>
      <c r="F83" t="inlineStr">
        <is>
          <t>VÄSTRA GÖTALANDS LÄN</t>
        </is>
      </c>
      <c r="G83" t="inlineStr">
        <is>
          <t>KUNGÄLV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45837</v>
      </c>
      <c r="E84" s="1" t="n">
        <v>46232</v>
      </c>
      <c r="F84" t="inlineStr">
        <is>
          <t>VÄSTRA GÖTALANDS LÄN</t>
        </is>
      </c>
      <c r="G84" t="inlineStr">
        <is>
          <t>KUNGÄLV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46232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46163</v>
      </c>
      <c r="E86" s="1" t="n">
        <v>46232</v>
      </c>
      <c r="F86" t="inlineStr">
        <is>
          <t>VÄSTRA GÖTALANDS LÄN</t>
        </is>
      </c>
      <c r="G86" t="inlineStr">
        <is>
          <t>KUNGÄLV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29952-2026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46205</v>
      </c>
      <c r="E87" s="1" t="n">
        <v>46232</v>
      </c>
      <c r="F87" t="inlineStr">
        <is>
          <t>VÄSTRA GÖTALANDS LÄN</t>
        </is>
      </c>
      <c r="G87" t="inlineStr">
        <is>
          <t>KUNGÄLV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24461-2023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45082</v>
      </c>
      <c r="E88" s="1" t="n">
        <v>46232</v>
      </c>
      <c r="F88" t="inlineStr">
        <is>
          <t>VÄSTRA GÖTALANDS LÄN</t>
        </is>
      </c>
      <c r="G88" t="inlineStr">
        <is>
          <t>KUNGÄLV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13880-2024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45391</v>
      </c>
      <c r="E89" s="1" t="n">
        <v>46232</v>
      </c>
      <c r="F89" t="inlineStr">
        <is>
          <t>VÄSTRA GÖTALANDS LÄN</t>
        </is>
      </c>
      <c r="G89" t="inlineStr">
        <is>
          <t>KUNGÄLV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46232</v>
      </c>
      <c r="F90" t="inlineStr">
        <is>
          <t>VÄSTRA GÖTALANDS LÄN</t>
        </is>
      </c>
      <c r="G90" t="inlineStr">
        <is>
          <t>KUNGÄLV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46211</v>
      </c>
      <c r="E91" s="1" t="n">
        <v>46232</v>
      </c>
      <c r="F91" t="inlineStr">
        <is>
          <t>VÄSTRA GÖTALANDS LÄN</t>
        </is>
      </c>
      <c r="G91" t="inlineStr">
        <is>
          <t>KUNGÄLV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30872-2026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46212</v>
      </c>
      <c r="E92" s="1" t="n">
        <v>46232</v>
      </c>
      <c r="F92" t="inlineStr">
        <is>
          <t>VÄSTRA GÖTALANDS LÄN</t>
        </is>
      </c>
      <c r="G92" t="inlineStr">
        <is>
          <t>KUNGÄLV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30859-2026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46212</v>
      </c>
      <c r="E93" s="1" t="n">
        <v>46232</v>
      </c>
      <c r="F93" t="inlineStr">
        <is>
          <t>VÄSTRA GÖTALANDS LÄN</t>
        </is>
      </c>
      <c r="G93" t="inlineStr">
        <is>
          <t>KUNGÄLV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46232</v>
      </c>
      <c r="F94" t="inlineStr">
        <is>
          <t>VÄSTRA GÖTALANDS LÄN</t>
        </is>
      </c>
      <c r="G94" t="inlineStr">
        <is>
          <t>KUNGÄLV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23457-2024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46232</v>
      </c>
      <c r="F95" t="inlineStr">
        <is>
          <t>VÄSTRA GÖTALANDS LÄN</t>
        </is>
      </c>
      <c r="G95" t="inlineStr">
        <is>
          <t>KUNGÄLV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44425</v>
      </c>
      <c r="E96" s="1" t="n">
        <v>46232</v>
      </c>
      <c r="F96" t="inlineStr">
        <is>
          <t>VÄSTRA GÖTALANDS LÄN</t>
        </is>
      </c>
      <c r="G96" t="inlineStr">
        <is>
          <t>KUNGÄLV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45063</v>
      </c>
      <c r="E97" s="1" t="n">
        <v>46232</v>
      </c>
      <c r="F97" t="inlineStr">
        <is>
          <t>VÄSTRA GÖTALANDS LÄN</t>
        </is>
      </c>
      <c r="G97" t="inlineStr">
        <is>
          <t>KUNGÄLV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45324</v>
      </c>
      <c r="E98" s="1" t="n">
        <v>46232</v>
      </c>
      <c r="F98" t="inlineStr">
        <is>
          <t>VÄSTRA GÖTALANDS LÄN</t>
        </is>
      </c>
      <c r="G98" t="inlineStr">
        <is>
          <t>KUNGÄLV</t>
        </is>
      </c>
      <c r="I98" t="n">
        <v>14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63319-2021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46232</v>
      </c>
      <c r="F99" t="inlineStr">
        <is>
          <t>VÄSTRA GÖTALANDS LÄN</t>
        </is>
      </c>
      <c r="G99" t="inlineStr">
        <is>
          <t>KUNGÄLV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46232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46232</v>
      </c>
      <c r="F101" t="inlineStr">
        <is>
          <t>VÄSTRA GÖTALANDS LÄN</t>
        </is>
      </c>
      <c r="G101" t="inlineStr">
        <is>
          <t>KUNGÄLV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46232</v>
      </c>
      <c r="F102" t="inlineStr">
        <is>
          <t>VÄSTRA GÖTALANDS LÄN</t>
        </is>
      </c>
      <c r="G102" t="inlineStr">
        <is>
          <t>KUNGÄLV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15078-2025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45743</v>
      </c>
      <c r="E103" s="1" t="n">
        <v>46232</v>
      </c>
      <c r="F103" t="inlineStr">
        <is>
          <t>VÄSTRA GÖTALANDS LÄN</t>
        </is>
      </c>
      <c r="G103" t="inlineStr">
        <is>
          <t>KUNGÄLV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74285-2021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44558</v>
      </c>
      <c r="E104" s="1" t="n">
        <v>46232</v>
      </c>
      <c r="F104" t="inlineStr">
        <is>
          <t>VÄSTRA GÖTALANDS LÄN</t>
        </is>
      </c>
      <c r="G104" t="inlineStr">
        <is>
          <t>KUNGÄLV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46232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2026-07-29T01:50:02Z</dcterms:created>
  <dcterms:modified xmlns:dcterms="http://purl.org/dc/terms/" xmlns:xsi="http://www.w3.org/2001/XMLSchema-instance" xsi:type="dcterms:W3CDTF">2026-07-29T01:50:02Z</dcterms:modified>
</cp:coreProperties>
</file>