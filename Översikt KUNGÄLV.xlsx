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46315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46315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46315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46315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46315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46315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46315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46315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46315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46315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46315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46315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46315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21240-2023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46315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HYPERLINK("https://klasma.github.io/Logging_1482/artfynd/A 21240-2023 artfynd.xlsx", "A 21240-2023")</f>
        <v/>
      </c>
      <c r="X23">
        <f>HYPERLINK("https://klasma.github.io/Logging_1482/kartor/A 21240-2023 karta.png", "A 21240-2023")</f>
        <v/>
      </c>
      <c r="Y23">
        <f>HYPERLINK("https://klasma.github.io/Logging_1482/kartor_geotiff/A 21240-2023 georefererad karta.tif", "A 21240-2023")</f>
        <v/>
      </c>
      <c r="AA23">
        <f>HYPERLINK("https://klasma.github.io/Logging_1482/klagomål/A 21240-2023 FSC-klagomål.docx", "A 21240-2023")</f>
        <v/>
      </c>
      <c r="AB23">
        <f>HYPERLINK("https://klasma.github.io/Logging_1482/klagomålsmail/A 21240-2023 FSC-klagomål mail.docx", "A 21240-2023")</f>
        <v/>
      </c>
      <c r="AC23">
        <f>HYPERLINK("https://klasma.github.io/Logging_1482/tillsyn/A 21240-2023 tillsynsbegäran.docx", "A 21240-2023")</f>
        <v/>
      </c>
      <c r="AD23">
        <f>HYPERLINK("https://klasma.github.io/Logging_1482/tillsynsmail/A 21240-2023 tillsynsbegäran mail.docx", "A 21240-2023")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46315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6082-2025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45697</v>
      </c>
      <c r="E25" s="1" t="n">
        <v>46315</v>
      </c>
      <c r="F25" t="inlineStr">
        <is>
          <t>VÄSTRA GÖTALANDS LÄN</t>
        </is>
      </c>
      <c r="G25" t="inlineStr">
        <is>
          <t>KUNGÄLV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HYPERLINK("https://klasma.github.io/Logging_1482/artfynd/A 6082-2025 artfynd.xlsx", "A 6082-2025")</f>
        <v/>
      </c>
      <c r="X25">
        <f>HYPERLINK("https://klasma.github.io/Logging_1482/kartor/A 6082-2025 karta.png", "A 6082-2025")</f>
        <v/>
      </c>
      <c r="Y25">
        <f>HYPERLINK("https://klasma.github.io/Logging_1482/kartor_geotiff/A 6082-2025 georefererad karta.tif", "A 6082-2025")</f>
        <v/>
      </c>
      <c r="AA25">
        <f>HYPERLINK("https://klasma.github.io/Logging_1482/klagomål/A 6082-2025 FSC-klagomål.docx", "A 6082-2025")</f>
        <v/>
      </c>
      <c r="AB25">
        <f>HYPERLINK("https://klasma.github.io/Logging_1482/klagomålsmail/A 6082-2025 FSC-klagomål mail.docx", "A 6082-2025")</f>
        <v/>
      </c>
      <c r="AC25">
        <f>HYPERLINK("https://klasma.github.io/Logging_1482/tillsyn/A 6082-2025 tillsynsbegäran.docx", "A 6082-2025")</f>
        <v/>
      </c>
      <c r="AD25">
        <f>HYPERLINK("https://klasma.github.io/Logging_1482/tillsynsmail/A 6082-2025 tillsynsbegäran mail.docx", "A 6082-2025")</f>
        <v/>
      </c>
      <c r="AE25">
        <f>HYPERLINK("https://klasma.github.io/Logging_1482/fåglar/A 6082-2025 prioriterade fågelarter.docx", "A 6082-2025")</f>
        <v/>
      </c>
    </row>
    <row r="26" ht="15" customHeight="1">
      <c r="A26" t="inlineStr">
        <is>
          <t>A 42407-2026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46315</v>
      </c>
      <c r="F26" t="inlineStr">
        <is>
          <t>VÄSTRA GÖTALANDS LÄN</t>
        </is>
      </c>
      <c r="G26" t="inlineStr">
        <is>
          <t>KUNGÄLV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Dunmossa</t>
        </is>
      </c>
      <c r="W26">
        <f>HYPERLINK("https://klasma.github.io/Logging_1482/artfynd/A 42407-2026 artfynd.xlsx", "A 42407-2026")</f>
        <v/>
      </c>
      <c r="X26">
        <f>HYPERLINK("https://klasma.github.io/Logging_1482/kartor/A 42407-2026 karta.png", "A 42407-2026")</f>
        <v/>
      </c>
      <c r="Y26">
        <f>HYPERLINK("https://klasma.github.io/Logging_1482/kartor_geotiff/A 42407-2026 georefererad karta.tif", "A 42407-2026")</f>
        <v/>
      </c>
      <c r="AA26">
        <f>HYPERLINK("https://klasma.github.io/Logging_1482/klagomål/A 42407-2026 FSC-klagomål.docx", "A 42407-2026")</f>
        <v/>
      </c>
      <c r="AB26">
        <f>HYPERLINK("https://klasma.github.io/Logging_1482/klagomålsmail/A 42407-2026 FSC-klagomål mail.docx", "A 42407-2026")</f>
        <v/>
      </c>
      <c r="AC26">
        <f>HYPERLINK("https://klasma.github.io/Logging_1482/tillsyn/A 42407-2026 tillsynsbegäran.docx", "A 42407-2026")</f>
        <v/>
      </c>
      <c r="AD26">
        <f>HYPERLINK("https://klasma.github.io/Logging_1482/tillsynsmail/A 42407-2026 tillsynsbegäran mail.docx", "A 42407-2026")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46315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46315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46315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46315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46315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46315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46315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46315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46315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46315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46315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46315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46315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29223-2024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45482</v>
      </c>
      <c r="E40" s="1" t="n">
        <v>46315</v>
      </c>
      <c r="F40" t="inlineStr">
        <is>
          <t>VÄSTRA GÖTALANDS LÄN</t>
        </is>
      </c>
      <c r="G40" t="inlineStr">
        <is>
          <t>KUNGÄLV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8334-2023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44975</v>
      </c>
      <c r="E41" s="1" t="n">
        <v>46315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45324</v>
      </c>
      <c r="E42" s="1" t="n">
        <v>46315</v>
      </c>
      <c r="F42" t="inlineStr">
        <is>
          <t>VÄSTRA GÖTALANDS LÄN</t>
        </is>
      </c>
      <c r="G42" t="inlineStr">
        <is>
          <t>KUNGÄLV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45664</v>
      </c>
      <c r="E43" s="1" t="n">
        <v>46315</v>
      </c>
      <c r="F43" t="inlineStr">
        <is>
          <t>VÄSTRA GÖTALANDS LÄN</t>
        </is>
      </c>
      <c r="G43" t="inlineStr">
        <is>
          <t>KUNGÄLV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45758</v>
      </c>
      <c r="E44" s="1" t="n">
        <v>46315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46315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46315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47564-2025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46315</v>
      </c>
      <c r="F47" t="inlineStr">
        <is>
          <t>VÄSTRA GÖTALANDS LÄN</t>
        </is>
      </c>
      <c r="G47" t="inlineStr">
        <is>
          <t>KUNGÄLV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24461-2023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45082</v>
      </c>
      <c r="E48" s="1" t="n">
        <v>46315</v>
      </c>
      <c r="F48" t="inlineStr">
        <is>
          <t>VÄSTRA GÖTALANDS LÄN</t>
        </is>
      </c>
      <c r="G48" t="inlineStr">
        <is>
          <t>KUNGÄLV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46315</v>
      </c>
      <c r="F49" t="inlineStr">
        <is>
          <t>VÄSTRA GÖTALANDS LÄN</t>
        </is>
      </c>
      <c r="G49" t="inlineStr">
        <is>
          <t>KUNGÄLV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46315</v>
      </c>
      <c r="F50" t="inlineStr">
        <is>
          <t>VÄSTRA GÖTALANDS LÄN</t>
        </is>
      </c>
      <c r="G50" t="inlineStr">
        <is>
          <t>KUNGÄLV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63319-2021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46315</v>
      </c>
      <c r="F51" t="inlineStr">
        <is>
          <t>VÄSTRA GÖTALANDS LÄN</t>
        </is>
      </c>
      <c r="G51" t="inlineStr">
        <is>
          <t>KUNGÄLV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46157</v>
      </c>
      <c r="E52" s="1" t="n">
        <v>46315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32391-2025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45837</v>
      </c>
      <c r="E53" s="1" t="n">
        <v>46315</v>
      </c>
      <c r="F53" t="inlineStr">
        <is>
          <t>VÄSTRA GÖTALANDS LÄN</t>
        </is>
      </c>
      <c r="G53" t="inlineStr">
        <is>
          <t>KUNGÄLV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45347</v>
      </c>
      <c r="E54" s="1" t="n">
        <v>46315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46315</v>
      </c>
      <c r="F55" t="inlineStr">
        <is>
          <t>VÄSTRA GÖTALANDS LÄN</t>
        </is>
      </c>
      <c r="G55" t="inlineStr">
        <is>
          <t>KUNGÄLV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46315</v>
      </c>
      <c r="F56" t="inlineStr">
        <is>
          <t>VÄSTRA GÖTALANDS LÄN</t>
        </is>
      </c>
      <c r="G56" t="inlineStr">
        <is>
          <t>KUNGÄLV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46315</v>
      </c>
      <c r="F57" t="inlineStr">
        <is>
          <t>VÄSTRA GÖTALANDS LÄN</t>
        </is>
      </c>
      <c r="G57" t="inlineStr">
        <is>
          <t>KUNGÄLV</t>
        </is>
      </c>
      <c r="I57" t="n">
        <v>13.3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46315</v>
      </c>
      <c r="F58" t="inlineStr">
        <is>
          <t>VÄSTRA GÖTALANDS LÄN</t>
        </is>
      </c>
      <c r="G58" t="inlineStr">
        <is>
          <t>KUNGÄLV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46315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46315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46315</v>
      </c>
      <c r="F61" t="inlineStr">
        <is>
          <t>VÄSTRA GÖTALANDS LÄN</t>
        </is>
      </c>
      <c r="G61" t="inlineStr">
        <is>
          <t>KUNGÄLV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6946-2026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46057</v>
      </c>
      <c r="E62" s="1" t="n">
        <v>46315</v>
      </c>
      <c r="F62" t="inlineStr">
        <is>
          <t>VÄSTRA GÖTALANDS LÄN</t>
        </is>
      </c>
      <c r="G62" t="inlineStr">
        <is>
          <t>KUNGÄLV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45694</v>
      </c>
      <c r="E63" s="1" t="n">
        <v>46315</v>
      </c>
      <c r="F63" t="inlineStr">
        <is>
          <t>VÄSTRA GÖTALANDS LÄN</t>
        </is>
      </c>
      <c r="G63" t="inlineStr">
        <is>
          <t>KUNGÄLV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62979-2023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45271</v>
      </c>
      <c r="E64" s="1" t="n">
        <v>46315</v>
      </c>
      <c r="F64" t="inlineStr">
        <is>
          <t>VÄSTRA GÖTALANDS LÄN</t>
        </is>
      </c>
      <c r="G64" t="inlineStr">
        <is>
          <t>KUNGÄLV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45877</v>
      </c>
      <c r="E65" s="1" t="n">
        <v>46315</v>
      </c>
      <c r="F65" t="inlineStr">
        <is>
          <t>VÄSTRA GÖTALANDS LÄN</t>
        </is>
      </c>
      <c r="G65" t="inlineStr">
        <is>
          <t>KUNGÄLV</t>
        </is>
      </c>
      <c r="H65" t="inlineStr">
        <is>
          <t>Kyrkan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46315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46315</v>
      </c>
      <c r="F67" t="inlineStr">
        <is>
          <t>VÄSTRA GÖTALANDS LÄN</t>
        </is>
      </c>
      <c r="G67" t="inlineStr">
        <is>
          <t>KUNGÄLV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46315</v>
      </c>
      <c r="F68" t="inlineStr">
        <is>
          <t>VÄSTRA GÖTALANDS LÄN</t>
        </is>
      </c>
      <c r="G68" t="inlineStr">
        <is>
          <t>KUNGÄLV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46315</v>
      </c>
      <c r="F69" t="inlineStr">
        <is>
          <t>VÄSTRA GÖTALANDS LÄN</t>
        </is>
      </c>
      <c r="G69" t="inlineStr">
        <is>
          <t>KUNGÄLV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46315</v>
      </c>
      <c r="F70" t="inlineStr">
        <is>
          <t>VÄSTRA GÖTALANDS LÄN</t>
        </is>
      </c>
      <c r="G70" t="inlineStr">
        <is>
          <t>KUNGÄLV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46315</v>
      </c>
      <c r="F71" t="inlineStr">
        <is>
          <t>VÄSTRA GÖTALANDS LÄN</t>
        </is>
      </c>
      <c r="G71" t="inlineStr">
        <is>
          <t>KUNGÄLV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46315</v>
      </c>
      <c r="F72" t="inlineStr">
        <is>
          <t>VÄSTRA GÖTALANDS LÄN</t>
        </is>
      </c>
      <c r="G72" t="inlineStr">
        <is>
          <t>KUNGÄLV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46315</v>
      </c>
      <c r="F73" t="inlineStr">
        <is>
          <t>VÄSTRA GÖTALANDS LÄN</t>
        </is>
      </c>
      <c r="G73" t="inlineStr">
        <is>
          <t>KUNGÄLV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46211</v>
      </c>
      <c r="E74" s="1" t="n">
        <v>46315</v>
      </c>
      <c r="F74" t="inlineStr">
        <is>
          <t>VÄSTRA GÖTALANDS LÄN</t>
        </is>
      </c>
      <c r="G74" t="inlineStr">
        <is>
          <t>KUNGÄLV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46212</v>
      </c>
      <c r="E75" s="1" t="n">
        <v>46315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46315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45470</v>
      </c>
      <c r="E77" s="1" t="n">
        <v>46315</v>
      </c>
      <c r="F77" t="inlineStr">
        <is>
          <t>VÄSTRA GÖTALANDS LÄN</t>
        </is>
      </c>
      <c r="G77" t="inlineStr">
        <is>
          <t>KUNGÄLV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46281</v>
      </c>
      <c r="E78" s="1" t="n">
        <v>46315</v>
      </c>
      <c r="F78" t="inlineStr">
        <is>
          <t>VÄSTRA GÖTALANDS LÄN</t>
        </is>
      </c>
      <c r="G78" t="inlineStr">
        <is>
          <t>KUNGÄLV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44989</v>
      </c>
      <c r="E79" s="1" t="n">
        <v>46315</v>
      </c>
      <c r="F79" t="inlineStr">
        <is>
          <t>VÄSTRA GÖTALANDS LÄN</t>
        </is>
      </c>
      <c r="G79" t="inlineStr">
        <is>
          <t>KUNGÄLV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46315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46315</v>
      </c>
      <c r="F81" t="inlineStr">
        <is>
          <t>VÄSTRA GÖTALANDS LÄN</t>
        </is>
      </c>
      <c r="G81" t="inlineStr">
        <is>
          <t>KUNGÄLV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46315</v>
      </c>
      <c r="F82" t="inlineStr">
        <is>
          <t>VÄSTRA GÖTALANDS LÄN</t>
        </is>
      </c>
      <c r="G82" t="inlineStr">
        <is>
          <t>KUNGÄLV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45188</v>
      </c>
      <c r="E83" s="1" t="n">
        <v>46315</v>
      </c>
      <c r="F83" t="inlineStr">
        <is>
          <t>VÄSTRA GÖTALANDS LÄN</t>
        </is>
      </c>
      <c r="G83" t="inlineStr">
        <is>
          <t>KUNGÄLV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46315</v>
      </c>
      <c r="F84" t="inlineStr">
        <is>
          <t>VÄSTRA GÖTALANDS LÄN</t>
        </is>
      </c>
      <c r="G84" t="inlineStr">
        <is>
          <t>KUNGÄLV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45552</v>
      </c>
      <c r="E85" s="1" t="n">
        <v>46315</v>
      </c>
      <c r="F85" t="inlineStr">
        <is>
          <t>VÄSTRA GÖTALANDS LÄN</t>
        </is>
      </c>
      <c r="G85" t="inlineStr">
        <is>
          <t>KUNGÄLV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46315</v>
      </c>
      <c r="F86" t="inlineStr">
        <is>
          <t>VÄSTRA GÖTALANDS LÄN</t>
        </is>
      </c>
      <c r="G86" t="inlineStr">
        <is>
          <t>KUNGÄLV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46315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46315</v>
      </c>
      <c r="F88" t="inlineStr">
        <is>
          <t>VÄSTRA GÖTALANDS LÄN</t>
        </is>
      </c>
      <c r="G88" t="inlineStr">
        <is>
          <t>KUNGÄLV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46315</v>
      </c>
      <c r="F89" t="inlineStr">
        <is>
          <t>VÄSTRA GÖTALANDS LÄN</t>
        </is>
      </c>
      <c r="G89" t="inlineStr">
        <is>
          <t>KUNGÄLV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46315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46315</v>
      </c>
      <c r="F91" t="inlineStr">
        <is>
          <t>VÄSTRA GÖTALANDS LÄN</t>
        </is>
      </c>
      <c r="G91" t="inlineStr">
        <is>
          <t>KUNGÄLV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46315</v>
      </c>
      <c r="F92" t="inlineStr">
        <is>
          <t>VÄSTRA GÖTALANDS LÄN</t>
        </is>
      </c>
      <c r="G92" t="inlineStr">
        <is>
          <t>KUNGÄLV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46315</v>
      </c>
      <c r="F93" t="inlineStr">
        <is>
          <t>VÄSTRA GÖTALANDS LÄN</t>
        </is>
      </c>
      <c r="G93" t="inlineStr">
        <is>
          <t>KUNGÄLV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46315</v>
      </c>
      <c r="F94" t="inlineStr">
        <is>
          <t>VÄSTRA GÖTALANDS LÄN</t>
        </is>
      </c>
      <c r="G94" t="inlineStr">
        <is>
          <t>KUNGÄLV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74285-2021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44558</v>
      </c>
      <c r="E95" s="1" t="n">
        <v>46315</v>
      </c>
      <c r="F95" t="inlineStr">
        <is>
          <t>VÄSTRA GÖTALANDS LÄN</t>
        </is>
      </c>
      <c r="G95" t="inlineStr">
        <is>
          <t>KUNGÄLV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46302</v>
      </c>
      <c r="E96" s="1" t="n">
        <v>46315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46315</v>
      </c>
      <c r="F97" t="inlineStr">
        <is>
          <t>VÄSTRA GÖTALANDS LÄN</t>
        </is>
      </c>
      <c r="G97" t="inlineStr">
        <is>
          <t>KUNGÄLV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46315</v>
      </c>
      <c r="F98" t="inlineStr">
        <is>
          <t>VÄSTRA GÖTALANDS LÄN</t>
        </is>
      </c>
      <c r="G98" t="inlineStr">
        <is>
          <t>KUNGÄLV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45124</v>
      </c>
      <c r="E99" s="1" t="n">
        <v>46315</v>
      </c>
      <c r="F99" t="inlineStr">
        <is>
          <t>VÄSTRA GÖTALANDS LÄN</t>
        </is>
      </c>
      <c r="G99" t="inlineStr">
        <is>
          <t>KUNGÄLV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46313</v>
      </c>
      <c r="E100" s="1" t="n">
        <v>46315</v>
      </c>
      <c r="F100" t="inlineStr">
        <is>
          <t>VÄSTRA GÖTALANDS LÄN</t>
        </is>
      </c>
      <c r="G100" t="inlineStr">
        <is>
          <t>KUNGÄLV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46313</v>
      </c>
      <c r="E101" s="1" t="n">
        <v>46315</v>
      </c>
      <c r="F101" t="inlineStr">
        <is>
          <t>VÄSTRA GÖTALANDS LÄN</t>
        </is>
      </c>
      <c r="G101" t="inlineStr">
        <is>
          <t>KUNGÄLV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46315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46315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46315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46315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2026-10-20T01:50:15Z</dcterms:created>
  <dcterms:modified xmlns:dcterms="http://purl.org/dc/terms/" xmlns:xsi="http://www.w3.org/2001/XMLSchema-instance" xsi:type="dcterms:W3CDTF">2026-10-20T01:50:15Z</dcterms:modified>
</cp:coreProperties>
</file>