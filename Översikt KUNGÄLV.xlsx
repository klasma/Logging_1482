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45799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45799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45799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45799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45799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45799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45799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45799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45799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18904-2025</t>
        </is>
      </c>
      <c r="B11" s="1" t="n">
        <v>45764</v>
      </c>
      <c r="C11" s="1" t="n">
        <v>45799</v>
      </c>
      <c r="D11" t="inlineStr">
        <is>
          <t>VÄSTRA GÖTALANDS LÄN</t>
        </is>
      </c>
      <c r="E11" t="inlineStr">
        <is>
          <t>KUNGÄLV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Fällmossa</t>
        </is>
      </c>
      <c r="S11">
        <f>HYPERLINK("https://klasma.github.io/Logging_141482/artfynd/A 18904-2025 artfynd.xlsx", "A 18904-2025")</f>
        <v/>
      </c>
      <c r="T11">
        <f>HYPERLINK("https://klasma.github.io/Logging_141482/kartor/A 18904-2025 karta.png", "A 18904-2025")</f>
        <v/>
      </c>
      <c r="V11">
        <f>HYPERLINK("https://klasma.github.io/Logging_141482/klagomål/A 18904-2025 FSC-klagomål.docx", "A 18904-2025")</f>
        <v/>
      </c>
      <c r="W11">
        <f>HYPERLINK("https://klasma.github.io/Logging_141482/klagomålsmail/A 18904-2025 FSC-klagomål mail.docx", "A 18904-2025")</f>
        <v/>
      </c>
      <c r="X11">
        <f>HYPERLINK("https://klasma.github.io/Logging_141482/tillsyn/A 18904-2025 tillsynsbegäran.docx", "A 18904-2025")</f>
        <v/>
      </c>
      <c r="Y11">
        <f>HYPERLINK("https://klasma.github.io/Logging_141482/tillsynsmail/A 18904-2025 tillsynsbegäran mail.docx", "A 18904-2025")</f>
        <v/>
      </c>
    </row>
    <row r="12" ht="15" customHeight="1">
      <c r="A12" t="inlineStr">
        <is>
          <t>A 40335-2019</t>
        </is>
      </c>
      <c r="B12" s="1" t="n">
        <v>43696</v>
      </c>
      <c r="C12" s="1" t="n">
        <v>45799</v>
      </c>
      <c r="D12" t="inlineStr">
        <is>
          <t>VÄSTRA GÖTALANDS LÄN</t>
        </is>
      </c>
      <c r="E12" t="inlineStr">
        <is>
          <t>KUNGÄLV</t>
        </is>
      </c>
      <c r="G12" t="n">
        <v>25.1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HYPERLINK("https://klasma.github.io/Logging_1482/artfynd/A 40335-2019 artfynd.xlsx", "A 40335-2019")</f>
        <v/>
      </c>
      <c r="T12">
        <f>HYPERLINK("https://klasma.github.io/Logging_1482/kartor/A 40335-2019 karta.png", "A 40335-2019")</f>
        <v/>
      </c>
      <c r="V12">
        <f>HYPERLINK("https://klasma.github.io/Logging_1482/klagomål/A 40335-2019 FSC-klagomål.docx", "A 40335-2019")</f>
        <v/>
      </c>
      <c r="W12">
        <f>HYPERLINK("https://klasma.github.io/Logging_1482/klagomålsmail/A 40335-2019 FSC-klagomål mail.docx", "A 40335-2019")</f>
        <v/>
      </c>
      <c r="X12">
        <f>HYPERLINK("https://klasma.github.io/Logging_1482/tillsyn/A 40335-2019 tillsynsbegäran.docx", "A 40335-2019")</f>
        <v/>
      </c>
      <c r="Y12">
        <f>HYPERLINK("https://klasma.github.io/Logging_1482/tillsynsmail/A 40335-2019 tillsynsbegäran mail.docx", "A 40335-2019")</f>
        <v/>
      </c>
    </row>
    <row r="13" ht="15" customHeight="1">
      <c r="A13" t="inlineStr">
        <is>
          <t>A 23387-2020</t>
        </is>
      </c>
      <c r="B13" s="1" t="n">
        <v>43968</v>
      </c>
      <c r="C13" s="1" t="n">
        <v>45799</v>
      </c>
      <c r="D13" t="inlineStr">
        <is>
          <t>VÄSTRA GÖTALANDS LÄN</t>
        </is>
      </c>
      <c r="E13" t="inlineStr">
        <is>
          <t>KUNGÄLV</t>
        </is>
      </c>
      <c r="G13" t="n">
        <v>3.9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23387-2020 artfynd.xlsx", "A 23387-2020")</f>
        <v/>
      </c>
      <c r="T13">
        <f>HYPERLINK("https://klasma.github.io/Logging_1482/kartor/A 23387-2020 karta.png", "A 23387-2020")</f>
        <v/>
      </c>
      <c r="V13">
        <f>HYPERLINK("https://klasma.github.io/Logging_1482/klagomål/A 23387-2020 FSC-klagomål.docx", "A 23387-2020")</f>
        <v/>
      </c>
      <c r="W13">
        <f>HYPERLINK("https://klasma.github.io/Logging_1482/klagomålsmail/A 23387-2020 FSC-klagomål mail.docx", "A 23387-2020")</f>
        <v/>
      </c>
      <c r="X13">
        <f>HYPERLINK("https://klasma.github.io/Logging_1482/tillsyn/A 23387-2020 tillsynsbegäran.docx", "A 23387-2020")</f>
        <v/>
      </c>
      <c r="Y13">
        <f>HYPERLINK("https://klasma.github.io/Logging_1482/tillsynsmail/A 23387-2020 tillsynsbegäran mail.docx", "A 23387-2020")</f>
        <v/>
      </c>
    </row>
    <row r="14" ht="15" customHeight="1">
      <c r="A14" t="inlineStr">
        <is>
          <t>A 35899-2020</t>
        </is>
      </c>
      <c r="B14" s="1" t="n">
        <v>44047</v>
      </c>
      <c r="C14" s="1" t="n">
        <v>45799</v>
      </c>
      <c r="D14" t="inlineStr">
        <is>
          <t>VÄSTRA GÖTALANDS LÄN</t>
        </is>
      </c>
      <c r="E14" t="inlineStr">
        <is>
          <t>KUNGÄLV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35899-2020 artfynd.xlsx", "A 35899-2020")</f>
        <v/>
      </c>
      <c r="T14">
        <f>HYPERLINK("https://klasma.github.io/Logging_1482/kartor/A 35899-2020 karta.png", "A 35899-2020")</f>
        <v/>
      </c>
      <c r="V14">
        <f>HYPERLINK("https://klasma.github.io/Logging_1482/klagomål/A 35899-2020 FSC-klagomål.docx", "A 35899-2020")</f>
        <v/>
      </c>
      <c r="W14">
        <f>HYPERLINK("https://klasma.github.io/Logging_1482/klagomålsmail/A 35899-2020 FSC-klagomål mail.docx", "A 35899-2020")</f>
        <v/>
      </c>
      <c r="X14">
        <f>HYPERLINK("https://klasma.github.io/Logging_1482/tillsyn/A 35899-2020 tillsynsbegäran.docx", "A 35899-2020")</f>
        <v/>
      </c>
      <c r="Y14">
        <f>HYPERLINK("https://klasma.github.io/Logging_1482/tillsynsmail/A 35899-2020 tillsynsbegäran mail.docx", "A 35899-2020")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45799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21225-2023</t>
        </is>
      </c>
      <c r="B16" s="1" t="n">
        <v>45058</v>
      </c>
      <c r="C16" s="1" t="n">
        <v>45799</v>
      </c>
      <c r="D16" t="inlineStr">
        <is>
          <t>VÄSTRA GÖTALANDS LÄN</t>
        </is>
      </c>
      <c r="E16" t="inlineStr">
        <is>
          <t>KUNGÄLV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HYPERLINK("https://klasma.github.io/Logging_1482/artfynd/A 21225-2023 artfynd.xlsx", "A 21225-2023")</f>
        <v/>
      </c>
      <c r="T16">
        <f>HYPERLINK("https://klasma.github.io/Logging_1482/kartor/A 21225-2023 karta.png", "A 21225-2023")</f>
        <v/>
      </c>
      <c r="V16">
        <f>HYPERLINK("https://klasma.github.io/Logging_1482/klagomål/A 21225-2023 FSC-klagomål.docx", "A 21225-2023")</f>
        <v/>
      </c>
      <c r="W16">
        <f>HYPERLINK("https://klasma.github.io/Logging_1482/klagomålsmail/A 21225-2023 FSC-klagomål mail.docx", "A 21225-2023")</f>
        <v/>
      </c>
      <c r="X16">
        <f>HYPERLINK("https://klasma.github.io/Logging_1482/tillsyn/A 21225-2023 tillsynsbegäran.docx", "A 21225-2023")</f>
        <v/>
      </c>
      <c r="Y16">
        <f>HYPERLINK("https://klasma.github.io/Logging_1482/tillsynsmail/A 21225-2023 tillsynsbegäran mail.docx", "A 21225-2023")</f>
        <v/>
      </c>
    </row>
    <row r="17" ht="15" customHeight="1">
      <c r="A17" t="inlineStr">
        <is>
          <t>A 49988-2023</t>
        </is>
      </c>
      <c r="B17" s="1" t="n">
        <v>45215</v>
      </c>
      <c r="C17" s="1" t="n">
        <v>45799</v>
      </c>
      <c r="D17" t="inlineStr">
        <is>
          <t>VÄSTRA GÖTALANDS LÄN</t>
        </is>
      </c>
      <c r="E17" t="inlineStr">
        <is>
          <t>KUNGÄLV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49988-2023 artfynd.xlsx", "A 49988-2023")</f>
        <v/>
      </c>
      <c r="T17">
        <f>HYPERLINK("https://klasma.github.io/Logging_1482/kartor/A 49988-2023 karta.png", "A 49988-2023")</f>
        <v/>
      </c>
      <c r="V17">
        <f>HYPERLINK("https://klasma.github.io/Logging_1482/klagomål/A 49988-2023 FSC-klagomål.docx", "A 49988-2023")</f>
        <v/>
      </c>
      <c r="W17">
        <f>HYPERLINK("https://klasma.github.io/Logging_1482/klagomålsmail/A 49988-2023 FSC-klagomål mail.docx", "A 49988-2023")</f>
        <v/>
      </c>
      <c r="X17">
        <f>HYPERLINK("https://klasma.github.io/Logging_1482/tillsyn/A 49988-2023 tillsynsbegäran.docx", "A 49988-2023")</f>
        <v/>
      </c>
      <c r="Y17">
        <f>HYPERLINK("https://klasma.github.io/Logging_1482/tillsynsmail/A 49988-2023 tillsynsbegäran mail.docx", "A 49988-2023")</f>
        <v/>
      </c>
    </row>
    <row r="18" ht="15" customHeight="1">
      <c r="A18" t="inlineStr">
        <is>
          <t>A 13878-2024</t>
        </is>
      </c>
      <c r="B18" s="1" t="n">
        <v>45391</v>
      </c>
      <c r="C18" s="1" t="n">
        <v>45799</v>
      </c>
      <c r="D18" t="inlineStr">
        <is>
          <t>VÄSTRA GÖTALANDS LÄN</t>
        </is>
      </c>
      <c r="E18" t="inlineStr">
        <is>
          <t>KUNGÄLV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HYPERLINK("https://klasma.github.io/Logging_1482/artfynd/A 13878-2024 artfynd.xlsx", "A 13878-2024")</f>
        <v/>
      </c>
      <c r="T18">
        <f>HYPERLINK("https://klasma.github.io/Logging_1482/kartor/A 13878-2024 karta.png", "A 13878-2024")</f>
        <v/>
      </c>
      <c r="V18">
        <f>HYPERLINK("https://klasma.github.io/Logging_1482/klagomål/A 13878-2024 FSC-klagomål.docx", "A 13878-2024")</f>
        <v/>
      </c>
      <c r="W18">
        <f>HYPERLINK("https://klasma.github.io/Logging_1482/klagomålsmail/A 13878-2024 FSC-klagomål mail.docx", "A 13878-2024")</f>
        <v/>
      </c>
      <c r="X18">
        <f>HYPERLINK("https://klasma.github.io/Logging_1482/tillsyn/A 13878-2024 tillsynsbegäran.docx", "A 13878-2024")</f>
        <v/>
      </c>
      <c r="Y18">
        <f>HYPERLINK("https://klasma.github.io/Logging_1482/tillsynsmail/A 13878-2024 tillsynsbegäran mail.docx", "A 13878-2024")</f>
        <v/>
      </c>
    </row>
    <row r="19" ht="15" customHeight="1">
      <c r="A19" t="inlineStr">
        <is>
          <t>A 23704-2024</t>
        </is>
      </c>
      <c r="B19" s="1" t="n">
        <v>45454</v>
      </c>
      <c r="C19" s="1" t="n">
        <v>45799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34725-2024</t>
        </is>
      </c>
      <c r="B20" s="1" t="n">
        <v>45526</v>
      </c>
      <c r="C20" s="1" t="n">
        <v>45799</v>
      </c>
      <c r="D20" t="inlineStr">
        <is>
          <t>VÄSTRA GÖTALANDS LÄN</t>
        </is>
      </c>
      <c r="E20" t="inlineStr">
        <is>
          <t>KUNGÄLV</t>
        </is>
      </c>
      <c r="G20" t="n">
        <v>14.3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34725-2024 artfynd.xlsx", "A 34725-2024")</f>
        <v/>
      </c>
      <c r="T20">
        <f>HYPERLINK("https://klasma.github.io/Logging_1482/kartor/A 34725-2024 karta.png", "A 34725-2024")</f>
        <v/>
      </c>
      <c r="V20">
        <f>HYPERLINK("https://klasma.github.io/Logging_1482/klagomål/A 34725-2024 FSC-klagomål.docx", "A 34725-2024")</f>
        <v/>
      </c>
      <c r="W20">
        <f>HYPERLINK("https://klasma.github.io/Logging_1482/klagomålsmail/A 34725-2024 FSC-klagomål mail.docx", "A 34725-2024")</f>
        <v/>
      </c>
      <c r="X20">
        <f>HYPERLINK("https://klasma.github.io/Logging_1482/tillsyn/A 34725-2024 tillsynsbegäran.docx", "A 34725-2024")</f>
        <v/>
      </c>
      <c r="Y20">
        <f>HYPERLINK("https://klasma.github.io/Logging_1482/tillsynsmail/A 34725-2024 tillsynsbegäran mail.docx", "A 34725-2024")</f>
        <v/>
      </c>
      <c r="Z20">
        <f>HYPERLINK("https://klasma.github.io/Logging_1482/fåglar/A 34725-2024 prioriterade fågelarter.docx", "A 34725-2024")</f>
        <v/>
      </c>
    </row>
    <row r="21" ht="15" customHeight="1">
      <c r="A21" t="inlineStr">
        <is>
          <t>A 45042-2024</t>
        </is>
      </c>
      <c r="B21" s="1" t="n">
        <v>45575</v>
      </c>
      <c r="C21" s="1" t="n">
        <v>45799</v>
      </c>
      <c r="D21" t="inlineStr">
        <is>
          <t>VÄSTRA GÖTALANDS LÄN</t>
        </is>
      </c>
      <c r="E21" t="inlineStr">
        <is>
          <t>KUNGÄLV</t>
        </is>
      </c>
      <c r="G21" t="n">
        <v>7.9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HYPERLINK("https://klasma.github.io/Logging_1482/artfynd/A 45042-2024 artfynd.xlsx", "A 45042-2024")</f>
        <v/>
      </c>
      <c r="T21">
        <f>HYPERLINK("https://klasma.github.io/Logging_1482/kartor/A 45042-2024 karta.png", "A 45042-2024")</f>
        <v/>
      </c>
      <c r="V21">
        <f>HYPERLINK("https://klasma.github.io/Logging_1482/klagomål/A 45042-2024 FSC-klagomål.docx", "A 45042-2024")</f>
        <v/>
      </c>
      <c r="W21">
        <f>HYPERLINK("https://klasma.github.io/Logging_1482/klagomålsmail/A 45042-2024 FSC-klagomål mail.docx", "A 45042-2024")</f>
        <v/>
      </c>
      <c r="X21">
        <f>HYPERLINK("https://klasma.github.io/Logging_1482/tillsyn/A 45042-2024 tillsynsbegäran.docx", "A 45042-2024")</f>
        <v/>
      </c>
      <c r="Y21">
        <f>HYPERLINK("https://klasma.github.io/Logging_1482/tillsynsmail/A 45042-2024 tillsynsbegäran mail.docx", "A 45042-2024")</f>
        <v/>
      </c>
      <c r="Z21">
        <f>HYPERLINK("https://klasma.github.io/Logging_1482/fåglar/A 45042-2024 prioriterade fågelarter.docx", "A 45042-2024")</f>
        <v/>
      </c>
    </row>
    <row r="22" ht="15" customHeight="1">
      <c r="A22" t="inlineStr">
        <is>
          <t>A 18341-2019</t>
        </is>
      </c>
      <c r="B22" s="1" t="n">
        <v>43559</v>
      </c>
      <c r="C22" s="1" t="n">
        <v>45799</v>
      </c>
      <c r="D22" t="inlineStr">
        <is>
          <t>VÄSTRA GÖTALANDS LÄN</t>
        </is>
      </c>
      <c r="E22" t="inlineStr">
        <is>
          <t>KUNGÄLV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20421-2019</t>
        </is>
      </c>
      <c r="B23" s="1" t="n">
        <v>43571</v>
      </c>
      <c r="C23" s="1" t="n">
        <v>45799</v>
      </c>
      <c r="D23" t="inlineStr">
        <is>
          <t>VÄSTRA GÖTALANDS LÄN</t>
        </is>
      </c>
      <c r="E23" t="inlineStr">
        <is>
          <t>KUNGÄLV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30453-2019</t>
        </is>
      </c>
      <c r="B24" s="1" t="n">
        <v>43634</v>
      </c>
      <c r="C24" s="1" t="n">
        <v>45799</v>
      </c>
      <c r="D24" t="inlineStr">
        <is>
          <t>VÄSTRA GÖTALANDS LÄN</t>
        </is>
      </c>
      <c r="E24" t="inlineStr">
        <is>
          <t>KUNGÄLV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33311-2019</t>
        </is>
      </c>
      <c r="B25" s="1" t="n">
        <v>43644</v>
      </c>
      <c r="C25" s="1" t="n">
        <v>45799</v>
      </c>
      <c r="D25" t="inlineStr">
        <is>
          <t>VÄSTRA GÖTALANDS LÄN</t>
        </is>
      </c>
      <c r="E25" t="inlineStr">
        <is>
          <t>KUNGÄLV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33684-2019</t>
        </is>
      </c>
      <c r="B26" s="1" t="n">
        <v>43651</v>
      </c>
      <c r="C26" s="1" t="n">
        <v>45799</v>
      </c>
      <c r="D26" t="inlineStr">
        <is>
          <t>VÄSTRA GÖTALANDS LÄN</t>
        </is>
      </c>
      <c r="E26" t="inlineStr">
        <is>
          <t>KUNGÄLV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33688-2019</t>
        </is>
      </c>
      <c r="B27" s="1" t="n">
        <v>43651</v>
      </c>
      <c r="C27" s="1" t="n">
        <v>45799</v>
      </c>
      <c r="D27" t="inlineStr">
        <is>
          <t>VÄSTRA GÖTALANDS LÄN</t>
        </is>
      </c>
      <c r="E27" t="inlineStr">
        <is>
          <t>KUNGÄLV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35538-2019</t>
        </is>
      </c>
      <c r="B28" s="1" t="n">
        <v>43664</v>
      </c>
      <c r="C28" s="1" t="n">
        <v>45799</v>
      </c>
      <c r="D28" t="inlineStr">
        <is>
          <t>VÄSTRA GÖTALANDS LÄN</t>
        </is>
      </c>
      <c r="E28" t="inlineStr">
        <is>
          <t>KUNGÄLV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50871-2019</t>
        </is>
      </c>
      <c r="B29" s="1" t="n">
        <v>43738</v>
      </c>
      <c r="C29" s="1" t="n">
        <v>45799</v>
      </c>
      <c r="D29" t="inlineStr">
        <is>
          <t>VÄSTRA GÖTALANDS LÄN</t>
        </is>
      </c>
      <c r="E29" t="inlineStr">
        <is>
          <t>KUNGÄLV</t>
        </is>
      </c>
      <c r="G29" t="n">
        <v>19.2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58160-2019</t>
        </is>
      </c>
      <c r="B30" s="1" t="n">
        <v>43769</v>
      </c>
      <c r="C30" s="1" t="n">
        <v>45799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59390-2019</t>
        </is>
      </c>
      <c r="B31" s="1" t="n">
        <v>43775</v>
      </c>
      <c r="C31" s="1" t="n">
        <v>45799</v>
      </c>
      <c r="D31" t="inlineStr">
        <is>
          <t>VÄSTRA GÖTALANDS LÄN</t>
        </is>
      </c>
      <c r="E31" t="inlineStr">
        <is>
          <t>KUNGÄLV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60348-2019</t>
        </is>
      </c>
      <c r="B32" s="1" t="n">
        <v>43780</v>
      </c>
      <c r="C32" s="1" t="n">
        <v>45799</v>
      </c>
      <c r="D32" t="inlineStr">
        <is>
          <t>VÄSTRA GÖTALANDS LÄN</t>
        </is>
      </c>
      <c r="E32" t="inlineStr">
        <is>
          <t>KUNGÄLV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60762-2019</t>
        </is>
      </c>
      <c r="B33" s="1" t="n">
        <v>43781</v>
      </c>
      <c r="C33" s="1" t="n">
        <v>45799</v>
      </c>
      <c r="D33" t="inlineStr">
        <is>
          <t>VÄSTRA GÖTALANDS LÄN</t>
        </is>
      </c>
      <c r="E33" t="inlineStr">
        <is>
          <t>KUNGÄLV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2423-2020</t>
        </is>
      </c>
      <c r="B34" s="1" t="n">
        <v>43847</v>
      </c>
      <c r="C34" s="1" t="n">
        <v>45799</v>
      </c>
      <c r="D34" t="inlineStr">
        <is>
          <t>VÄSTRA GÖTALANDS LÄN</t>
        </is>
      </c>
      <c r="E34" t="inlineStr">
        <is>
          <t>KUNGÄLV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9316-2020</t>
        </is>
      </c>
      <c r="B35" s="1" t="n">
        <v>43880</v>
      </c>
      <c r="C35" s="1" t="n">
        <v>45799</v>
      </c>
      <c r="D35" t="inlineStr">
        <is>
          <t>VÄSTRA GÖTALANDS LÄN</t>
        </is>
      </c>
      <c r="E35" t="inlineStr">
        <is>
          <t>KUNGÄLV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16046-2020</t>
        </is>
      </c>
      <c r="B36" s="1" t="n">
        <v>43916</v>
      </c>
      <c r="C36" s="1" t="n">
        <v>45799</v>
      </c>
      <c r="D36" t="inlineStr">
        <is>
          <t>VÄSTRA GÖTALANDS LÄN</t>
        </is>
      </c>
      <c r="E36" t="inlineStr">
        <is>
          <t>KUNGÄLV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22127-2020</t>
        </is>
      </c>
      <c r="B37" s="1" t="n">
        <v>43961</v>
      </c>
      <c r="C37" s="1" t="n">
        <v>45799</v>
      </c>
      <c r="D37" t="inlineStr">
        <is>
          <t>VÄSTRA GÖTALANDS LÄN</t>
        </is>
      </c>
      <c r="E37" t="inlineStr">
        <is>
          <t>KUNGÄLV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22123-2020</t>
        </is>
      </c>
      <c r="B38" s="1" t="n">
        <v>43961</v>
      </c>
      <c r="C38" s="1" t="n">
        <v>45799</v>
      </c>
      <c r="D38" t="inlineStr">
        <is>
          <t>VÄSTRA GÖTALANDS LÄN</t>
        </is>
      </c>
      <c r="E38" t="inlineStr">
        <is>
          <t>KUNGÄLV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24699-2020</t>
        </is>
      </c>
      <c r="B39" s="1" t="n">
        <v>43978</v>
      </c>
      <c r="C39" s="1" t="n">
        <v>45799</v>
      </c>
      <c r="D39" t="inlineStr">
        <is>
          <t>VÄSTRA GÖTALANDS LÄN</t>
        </is>
      </c>
      <c r="E39" t="inlineStr">
        <is>
          <t>KUNGÄLV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30086-2020</t>
        </is>
      </c>
      <c r="B40" s="1" t="n">
        <v>44006</v>
      </c>
      <c r="C40" s="1" t="n">
        <v>45799</v>
      </c>
      <c r="D40" t="inlineStr">
        <is>
          <t>VÄSTRA GÖTALANDS LÄN</t>
        </is>
      </c>
      <c r="E40" t="inlineStr">
        <is>
          <t>KUNGÄLV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35907-2020</t>
        </is>
      </c>
      <c r="B41" s="1" t="n">
        <v>44047</v>
      </c>
      <c r="C41" s="1" t="n">
        <v>45799</v>
      </c>
      <c r="D41" t="inlineStr">
        <is>
          <t>VÄSTRA GÖTALANDS LÄN</t>
        </is>
      </c>
      <c r="E41" t="inlineStr">
        <is>
          <t>KUNGÄLV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40568-2020</t>
        </is>
      </c>
      <c r="B42" s="1" t="n">
        <v>44069</v>
      </c>
      <c r="C42" s="1" t="n">
        <v>45799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48785-2020</t>
        </is>
      </c>
      <c r="B43" s="1" t="n">
        <v>44103</v>
      </c>
      <c r="C43" s="1" t="n">
        <v>45799</v>
      </c>
      <c r="D43" t="inlineStr">
        <is>
          <t>VÄSTRA GÖTALANDS LÄN</t>
        </is>
      </c>
      <c r="E43" t="inlineStr">
        <is>
          <t>KUNGÄLV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53539-2020</t>
        </is>
      </c>
      <c r="B44" s="1" t="n">
        <v>44124</v>
      </c>
      <c r="C44" s="1" t="n">
        <v>45799</v>
      </c>
      <c r="D44" t="inlineStr">
        <is>
          <t>VÄSTRA GÖTALANDS LÄN</t>
        </is>
      </c>
      <c r="E44" t="inlineStr">
        <is>
          <t>KUNGÄLV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53755-2020</t>
        </is>
      </c>
      <c r="B45" s="1" t="n">
        <v>44124</v>
      </c>
      <c r="C45" s="1" t="n">
        <v>45799</v>
      </c>
      <c r="D45" t="inlineStr">
        <is>
          <t>VÄSTRA GÖTALANDS LÄN</t>
        </is>
      </c>
      <c r="E45" t="inlineStr">
        <is>
          <t>KUNGÄLV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58334-2020</t>
        </is>
      </c>
      <c r="B46" s="1" t="n">
        <v>44141</v>
      </c>
      <c r="C46" s="1" t="n">
        <v>45799</v>
      </c>
      <c r="D46" t="inlineStr">
        <is>
          <t>VÄSTRA GÖTALANDS LÄN</t>
        </is>
      </c>
      <c r="E46" t="inlineStr">
        <is>
          <t>KUNGÄLV</t>
        </is>
      </c>
      <c r="F46" t="inlineStr">
        <is>
          <t>Övriga statliga verk och myndigheter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3026-2021</t>
        </is>
      </c>
      <c r="B47" s="1" t="n">
        <v>44216</v>
      </c>
      <c r="C47" s="1" t="n">
        <v>45799</v>
      </c>
      <c r="D47" t="inlineStr">
        <is>
          <t>VÄSTRA GÖTALANDS LÄN</t>
        </is>
      </c>
      <c r="E47" t="inlineStr">
        <is>
          <t>KUNGÄLV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3038-2021</t>
        </is>
      </c>
      <c r="B48" s="1" t="n">
        <v>44216</v>
      </c>
      <c r="C48" s="1" t="n">
        <v>45799</v>
      </c>
      <c r="D48" t="inlineStr">
        <is>
          <t>VÄSTRA GÖTALANDS LÄN</t>
        </is>
      </c>
      <c r="E48" t="inlineStr">
        <is>
          <t>KUNGÄLV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4892-2021</t>
        </is>
      </c>
      <c r="B49" s="1" t="n">
        <v>44224</v>
      </c>
      <c r="C49" s="1" t="n">
        <v>45799</v>
      </c>
      <c r="D49" t="inlineStr">
        <is>
          <t>VÄSTRA GÖTALANDS LÄN</t>
        </is>
      </c>
      <c r="E49" t="inlineStr">
        <is>
          <t>KUNGÄLV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5093-2021</t>
        </is>
      </c>
      <c r="B50" s="1" t="n">
        <v>44228</v>
      </c>
      <c r="C50" s="1" t="n">
        <v>45799</v>
      </c>
      <c r="D50" t="inlineStr">
        <is>
          <t>VÄSTRA GÖTALANDS LÄN</t>
        </is>
      </c>
      <c r="E50" t="inlineStr">
        <is>
          <t>KUNGÄLV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5099-2021</t>
        </is>
      </c>
      <c r="B51" s="1" t="n">
        <v>44228</v>
      </c>
      <c r="C51" s="1" t="n">
        <v>45799</v>
      </c>
      <c r="D51" t="inlineStr">
        <is>
          <t>VÄSTRA GÖTALANDS LÄN</t>
        </is>
      </c>
      <c r="E51" t="inlineStr">
        <is>
          <t>KUNGÄLV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9297-2021</t>
        </is>
      </c>
      <c r="B52" s="1" t="n">
        <v>44250</v>
      </c>
      <c r="C52" s="1" t="n">
        <v>45799</v>
      </c>
      <c r="D52" t="inlineStr">
        <is>
          <t>VÄSTRA GÖTALANDS LÄN</t>
        </is>
      </c>
      <c r="E52" t="inlineStr">
        <is>
          <t>KUNGÄLV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12517-2021</t>
        </is>
      </c>
      <c r="B53" s="1" t="n">
        <v>44268</v>
      </c>
      <c r="C53" s="1" t="n">
        <v>45799</v>
      </c>
      <c r="D53" t="inlineStr">
        <is>
          <t>VÄSTRA GÖTALANDS LÄN</t>
        </is>
      </c>
      <c r="E53" t="inlineStr">
        <is>
          <t>KUNGÄLV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21883-2021</t>
        </is>
      </c>
      <c r="B54" s="1" t="n">
        <v>44322</v>
      </c>
      <c r="C54" s="1" t="n">
        <v>45799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21899-2021</t>
        </is>
      </c>
      <c r="B55" s="1" t="n">
        <v>44322</v>
      </c>
      <c r="C55" s="1" t="n">
        <v>45799</v>
      </c>
      <c r="D55" t="inlineStr">
        <is>
          <t>VÄSTRA GÖTALANDS LÄN</t>
        </is>
      </c>
      <c r="E55" t="inlineStr">
        <is>
          <t>KUNGÄLV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33244-2021</t>
        </is>
      </c>
      <c r="B56" s="1" t="n">
        <v>44377</v>
      </c>
      <c r="C56" s="1" t="n">
        <v>45799</v>
      </c>
      <c r="D56" t="inlineStr">
        <is>
          <t>VÄSTRA GÖTALANDS LÄN</t>
        </is>
      </c>
      <c r="E56" t="inlineStr">
        <is>
          <t>KUNGÄLV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33493-2021</t>
        </is>
      </c>
      <c r="B57" s="1" t="n">
        <v>44377</v>
      </c>
      <c r="C57" s="1" t="n">
        <v>45799</v>
      </c>
      <c r="D57" t="inlineStr">
        <is>
          <t>VÄSTRA GÖTALANDS LÄN</t>
        </is>
      </c>
      <c r="E57" t="inlineStr">
        <is>
          <t>KUNGÄLV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33455-2021</t>
        </is>
      </c>
      <c r="B58" s="1" t="n">
        <v>44377</v>
      </c>
      <c r="C58" s="1" t="n">
        <v>45799</v>
      </c>
      <c r="D58" t="inlineStr">
        <is>
          <t>VÄSTRA GÖTALANDS LÄN</t>
        </is>
      </c>
      <c r="E58" t="inlineStr">
        <is>
          <t>KUNGÄLV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33496-2021</t>
        </is>
      </c>
      <c r="B59" s="1" t="n">
        <v>44377</v>
      </c>
      <c r="C59" s="1" t="n">
        <v>45799</v>
      </c>
      <c r="D59" t="inlineStr">
        <is>
          <t>VÄSTRA GÖTALANDS LÄN</t>
        </is>
      </c>
      <c r="E59" t="inlineStr">
        <is>
          <t>KUNGÄLV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41751-2021</t>
        </is>
      </c>
      <c r="B60" s="1" t="n">
        <v>44425</v>
      </c>
      <c r="C60" s="1" t="n">
        <v>45799</v>
      </c>
      <c r="D60" t="inlineStr">
        <is>
          <t>VÄSTRA GÖTALANDS LÄN</t>
        </is>
      </c>
      <c r="E60" t="inlineStr">
        <is>
          <t>KUNGÄLV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41765-2021</t>
        </is>
      </c>
      <c r="B61" s="1" t="n">
        <v>44425</v>
      </c>
      <c r="C61" s="1" t="n">
        <v>45799</v>
      </c>
      <c r="D61" t="inlineStr">
        <is>
          <t>VÄSTRA GÖTALANDS LÄN</t>
        </is>
      </c>
      <c r="E61" t="inlineStr">
        <is>
          <t>KUNGÄLV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41771-2021</t>
        </is>
      </c>
      <c r="B62" s="1" t="n">
        <v>44425</v>
      </c>
      <c r="C62" s="1" t="n">
        <v>45799</v>
      </c>
      <c r="D62" t="inlineStr">
        <is>
          <t>VÄSTRA GÖTALANDS LÄN</t>
        </is>
      </c>
      <c r="E62" t="inlineStr">
        <is>
          <t>KUNGÄLV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48311-2021</t>
        </is>
      </c>
      <c r="B63" s="1" t="n">
        <v>44450</v>
      </c>
      <c r="C63" s="1" t="n">
        <v>45799</v>
      </c>
      <c r="D63" t="inlineStr">
        <is>
          <t>VÄSTRA GÖTALANDS LÄN</t>
        </is>
      </c>
      <c r="E63" t="inlineStr">
        <is>
          <t>KUNGÄLV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48312-2021</t>
        </is>
      </c>
      <c r="B64" s="1" t="n">
        <v>44450</v>
      </c>
      <c r="C64" s="1" t="n">
        <v>45799</v>
      </c>
      <c r="D64" t="inlineStr">
        <is>
          <t>VÄSTRA GÖTALANDS LÄN</t>
        </is>
      </c>
      <c r="E64" t="inlineStr">
        <is>
          <t>KUNGÄLV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50413-2021</t>
        </is>
      </c>
      <c r="B65" s="1" t="n">
        <v>44459</v>
      </c>
      <c r="C65" s="1" t="n">
        <v>45799</v>
      </c>
      <c r="D65" t="inlineStr">
        <is>
          <t>VÄSTRA GÖTALANDS LÄN</t>
        </is>
      </c>
      <c r="E65" t="inlineStr">
        <is>
          <t>KUNGÄLV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50410-2021</t>
        </is>
      </c>
      <c r="B66" s="1" t="n">
        <v>44459</v>
      </c>
      <c r="C66" s="1" t="n">
        <v>45799</v>
      </c>
      <c r="D66" t="inlineStr">
        <is>
          <t>VÄSTRA GÖTALANDS LÄN</t>
        </is>
      </c>
      <c r="E66" t="inlineStr">
        <is>
          <t>KUNGÄLV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50648-2021</t>
        </is>
      </c>
      <c r="B67" s="1" t="n">
        <v>44459</v>
      </c>
      <c r="C67" s="1" t="n">
        <v>45799</v>
      </c>
      <c r="D67" t="inlineStr">
        <is>
          <t>VÄSTRA GÖTALANDS LÄN</t>
        </is>
      </c>
      <c r="E67" t="inlineStr">
        <is>
          <t>KUNGÄLV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56391-2021</t>
        </is>
      </c>
      <c r="B68" s="1" t="n">
        <v>44480</v>
      </c>
      <c r="C68" s="1" t="n">
        <v>45799</v>
      </c>
      <c r="D68" t="inlineStr">
        <is>
          <t>VÄSTRA GÖTALANDS LÄN</t>
        </is>
      </c>
      <c r="E68" t="inlineStr">
        <is>
          <t>KUNGÄLV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57447-2021</t>
        </is>
      </c>
      <c r="B69" s="1" t="n">
        <v>44483</v>
      </c>
      <c r="C69" s="1" t="n">
        <v>45799</v>
      </c>
      <c r="D69" t="inlineStr">
        <is>
          <t>VÄSTRA GÖTALANDS LÄN</t>
        </is>
      </c>
      <c r="E69" t="inlineStr">
        <is>
          <t>KUNGÄLV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60389-2021</t>
        </is>
      </c>
      <c r="B70" s="1" t="n">
        <v>44496</v>
      </c>
      <c r="C70" s="1" t="n">
        <v>45799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60395-2021</t>
        </is>
      </c>
      <c r="B71" s="1" t="n">
        <v>44496</v>
      </c>
      <c r="C71" s="1" t="n">
        <v>45799</v>
      </c>
      <c r="D71" t="inlineStr">
        <is>
          <t>VÄSTRA GÖTALANDS LÄN</t>
        </is>
      </c>
      <c r="E71" t="inlineStr">
        <is>
          <t>KUNGÄLV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62128-2021</t>
        </is>
      </c>
      <c r="B72" s="1" t="n">
        <v>44502</v>
      </c>
      <c r="C72" s="1" t="n">
        <v>45799</v>
      </c>
      <c r="D72" t="inlineStr">
        <is>
          <t>VÄSTRA GÖTALANDS LÄN</t>
        </is>
      </c>
      <c r="E72" t="inlineStr">
        <is>
          <t>KUNGÄLV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63319-2021</t>
        </is>
      </c>
      <c r="B73" s="1" t="n">
        <v>44508</v>
      </c>
      <c r="C73" s="1" t="n">
        <v>45799</v>
      </c>
      <c r="D73" t="inlineStr">
        <is>
          <t>VÄSTRA GÖTALANDS LÄN</t>
        </is>
      </c>
      <c r="E73" t="inlineStr">
        <is>
          <t>KUNGÄLV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71835-2021</t>
        </is>
      </c>
      <c r="B74" s="1" t="n">
        <v>44543</v>
      </c>
      <c r="C74" s="1" t="n">
        <v>45799</v>
      </c>
      <c r="D74" t="inlineStr">
        <is>
          <t>VÄSTRA GÖTALANDS LÄN</t>
        </is>
      </c>
      <c r="E74" t="inlineStr">
        <is>
          <t>KUNGÄLV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71784-2021</t>
        </is>
      </c>
      <c r="B75" s="1" t="n">
        <v>44543</v>
      </c>
      <c r="C75" s="1" t="n">
        <v>45799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74285-2021</t>
        </is>
      </c>
      <c r="B76" s="1" t="n">
        <v>44558</v>
      </c>
      <c r="C76" s="1" t="n">
        <v>45799</v>
      </c>
      <c r="D76" t="inlineStr">
        <is>
          <t>VÄSTRA GÖTALANDS LÄN</t>
        </is>
      </c>
      <c r="E76" t="inlineStr">
        <is>
          <t>KUNGÄLV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10655-2022</t>
        </is>
      </c>
      <c r="B77" s="1" t="n">
        <v>44624</v>
      </c>
      <c r="C77" s="1" t="n">
        <v>45799</v>
      </c>
      <c r="D77" t="inlineStr">
        <is>
          <t>VÄSTRA GÖTALANDS LÄN</t>
        </is>
      </c>
      <c r="E77" t="inlineStr">
        <is>
          <t>KUNGÄLV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19132-2022</t>
        </is>
      </c>
      <c r="B78" s="1" t="n">
        <v>44691</v>
      </c>
      <c r="C78" s="1" t="n">
        <v>45799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19133-2022</t>
        </is>
      </c>
      <c r="B79" s="1" t="n">
        <v>44691</v>
      </c>
      <c r="C79" s="1" t="n">
        <v>45799</v>
      </c>
      <c r="D79" t="inlineStr">
        <is>
          <t>VÄSTRA GÖTALANDS LÄN</t>
        </is>
      </c>
      <c r="E79" t="inlineStr">
        <is>
          <t>KUNGÄLV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29801-2022</t>
        </is>
      </c>
      <c r="B80" s="1" t="n">
        <v>44755</v>
      </c>
      <c r="C80" s="1" t="n">
        <v>45799</v>
      </c>
      <c r="D80" t="inlineStr">
        <is>
          <t>VÄSTRA GÖTALANDS LÄN</t>
        </is>
      </c>
      <c r="E80" t="inlineStr">
        <is>
          <t>KUNGÄLV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30170-2022</t>
        </is>
      </c>
      <c r="B81" s="1" t="n">
        <v>44757</v>
      </c>
      <c r="C81" s="1" t="n">
        <v>45799</v>
      </c>
      <c r="D81" t="inlineStr">
        <is>
          <t>VÄSTRA GÖTALANDS LÄN</t>
        </is>
      </c>
      <c r="E81" t="inlineStr">
        <is>
          <t>KUNGÄLV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30322-2022</t>
        </is>
      </c>
      <c r="B82" s="1" t="n">
        <v>44760</v>
      </c>
      <c r="C82" s="1" t="n">
        <v>45799</v>
      </c>
      <c r="D82" t="inlineStr">
        <is>
          <t>VÄSTRA GÖTALANDS LÄN</t>
        </is>
      </c>
      <c r="E82" t="inlineStr">
        <is>
          <t>KUNGÄLV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30373-2022</t>
        </is>
      </c>
      <c r="B83" s="1" t="n">
        <v>44760</v>
      </c>
      <c r="C83" s="1" t="n">
        <v>45799</v>
      </c>
      <c r="D83" t="inlineStr">
        <is>
          <t>VÄSTRA GÖTALANDS LÄN</t>
        </is>
      </c>
      <c r="E83" t="inlineStr">
        <is>
          <t>KUNGÄLV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30377-2022</t>
        </is>
      </c>
      <c r="B84" s="1" t="n">
        <v>44760</v>
      </c>
      <c r="C84" s="1" t="n">
        <v>45799</v>
      </c>
      <c r="D84" t="inlineStr">
        <is>
          <t>VÄSTRA GÖTALANDS LÄN</t>
        </is>
      </c>
      <c r="E84" t="inlineStr">
        <is>
          <t>KUNGÄLV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34366-2022</t>
        </is>
      </c>
      <c r="B85" s="1" t="n">
        <v>44792</v>
      </c>
      <c r="C85" s="1" t="n">
        <v>45799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37403-2022</t>
        </is>
      </c>
      <c r="B86" s="1" t="n">
        <v>44809</v>
      </c>
      <c r="C86" s="1" t="n">
        <v>45799</v>
      </c>
      <c r="D86" t="inlineStr">
        <is>
          <t>VÄSTRA GÖTALANDS LÄN</t>
        </is>
      </c>
      <c r="E86" t="inlineStr">
        <is>
          <t>KUNGÄLV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43709-2022</t>
        </is>
      </c>
      <c r="B87" s="1" t="n">
        <v>44836</v>
      </c>
      <c r="C87" s="1" t="n">
        <v>45799</v>
      </c>
      <c r="D87" t="inlineStr">
        <is>
          <t>VÄSTRA GÖTALANDS LÄN</t>
        </is>
      </c>
      <c r="E87" t="inlineStr">
        <is>
          <t>KUNGÄLV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43520-2022</t>
        </is>
      </c>
      <c r="B88" s="1" t="n">
        <v>44837</v>
      </c>
      <c r="C88" s="1" t="n">
        <v>45799</v>
      </c>
      <c r="D88" t="inlineStr">
        <is>
          <t>VÄSTRA GÖTALANDS LÄN</t>
        </is>
      </c>
      <c r="E88" t="inlineStr">
        <is>
          <t>KUNGÄLV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43847-2022</t>
        </is>
      </c>
      <c r="B89" s="1" t="n">
        <v>44838</v>
      </c>
      <c r="C89" s="1" t="n">
        <v>45799</v>
      </c>
      <c r="D89" t="inlineStr">
        <is>
          <t>VÄSTRA GÖTALANDS LÄN</t>
        </is>
      </c>
      <c r="E89" t="inlineStr">
        <is>
          <t>KUNGÄLV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45990-2022</t>
        </is>
      </c>
      <c r="B90" s="1" t="n">
        <v>44846</v>
      </c>
      <c r="C90" s="1" t="n">
        <v>45799</v>
      </c>
      <c r="D90" t="inlineStr">
        <is>
          <t>VÄSTRA GÖTALANDS LÄN</t>
        </is>
      </c>
      <c r="E90" t="inlineStr">
        <is>
          <t>KUNGÄLV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50491-2022</t>
        </is>
      </c>
      <c r="B91" s="1" t="n">
        <v>44861</v>
      </c>
      <c r="C91" s="1" t="n">
        <v>45799</v>
      </c>
      <c r="D91" t="inlineStr">
        <is>
          <t>VÄSTRA GÖTALANDS LÄN</t>
        </is>
      </c>
      <c r="E91" t="inlineStr">
        <is>
          <t>KUNGÄLV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50490-2022</t>
        </is>
      </c>
      <c r="B92" s="1" t="n">
        <v>44861</v>
      </c>
      <c r="C92" s="1" t="n">
        <v>45799</v>
      </c>
      <c r="D92" t="inlineStr">
        <is>
          <t>VÄSTRA GÖTALANDS LÄN</t>
        </is>
      </c>
      <c r="E92" t="inlineStr">
        <is>
          <t>KUNGÄLV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51930-2022</t>
        </is>
      </c>
      <c r="B93" s="1" t="n">
        <v>44872</v>
      </c>
      <c r="C93" s="1" t="n">
        <v>45799</v>
      </c>
      <c r="D93" t="inlineStr">
        <is>
          <t>VÄSTRA GÖTALANDS LÄN</t>
        </is>
      </c>
      <c r="E93" t="inlineStr">
        <is>
          <t>KUNGÄLV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56782-2022</t>
        </is>
      </c>
      <c r="B94" s="1" t="n">
        <v>44894</v>
      </c>
      <c r="C94" s="1" t="n">
        <v>45799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61423-2022</t>
        </is>
      </c>
      <c r="B95" s="1" t="n">
        <v>44916</v>
      </c>
      <c r="C95" s="1" t="n">
        <v>45799</v>
      </c>
      <c r="D95" t="inlineStr">
        <is>
          <t>VÄSTRA GÖTALANDS LÄN</t>
        </is>
      </c>
      <c r="E95" t="inlineStr">
        <is>
          <t>KUNGÄLV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61417-2022</t>
        </is>
      </c>
      <c r="B96" s="1" t="n">
        <v>44916</v>
      </c>
      <c r="C96" s="1" t="n">
        <v>45799</v>
      </c>
      <c r="D96" t="inlineStr">
        <is>
          <t>VÄSTRA GÖTALANDS LÄN</t>
        </is>
      </c>
      <c r="E96" t="inlineStr">
        <is>
          <t>KUNGÄLV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62688-2022</t>
        </is>
      </c>
      <c r="B97" s="1" t="n">
        <v>44925</v>
      </c>
      <c r="C97" s="1" t="n">
        <v>45799</v>
      </c>
      <c r="D97" t="inlineStr">
        <is>
          <t>VÄSTRA GÖTALANDS LÄN</t>
        </is>
      </c>
      <c r="E97" t="inlineStr">
        <is>
          <t>KUNGÄLV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143-2023</t>
        </is>
      </c>
      <c r="B98" s="1" t="n">
        <v>44928</v>
      </c>
      <c r="C98" s="1" t="n">
        <v>45799</v>
      </c>
      <c r="D98" t="inlineStr">
        <is>
          <t>VÄSTRA GÖTALANDS LÄN</t>
        </is>
      </c>
      <c r="E98" t="inlineStr">
        <is>
          <t>KUNGÄLV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8334-2023</t>
        </is>
      </c>
      <c r="B99" s="1" t="n">
        <v>44975</v>
      </c>
      <c r="C99" s="1" t="n">
        <v>45799</v>
      </c>
      <c r="D99" t="inlineStr">
        <is>
          <t>VÄSTRA GÖTALANDS LÄN</t>
        </is>
      </c>
      <c r="E99" t="inlineStr">
        <is>
          <t>KUNGÄLV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10417-2023</t>
        </is>
      </c>
      <c r="B100" s="1" t="n">
        <v>44987</v>
      </c>
      <c r="C100" s="1" t="n">
        <v>45799</v>
      </c>
      <c r="D100" t="inlineStr">
        <is>
          <t>VÄSTRA GÖTALANDS LÄN</t>
        </is>
      </c>
      <c r="E100" t="inlineStr">
        <is>
          <t>KUNGÄLV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10810-2023</t>
        </is>
      </c>
      <c r="B101" s="1" t="n">
        <v>44989</v>
      </c>
      <c r="C101" s="1" t="n">
        <v>45799</v>
      </c>
      <c r="D101" t="inlineStr">
        <is>
          <t>VÄSTRA GÖTALANDS LÄN</t>
        </is>
      </c>
      <c r="E101" t="inlineStr">
        <is>
          <t>KUNGÄLV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19531-2023</t>
        </is>
      </c>
      <c r="B102" s="1" t="n">
        <v>45050</v>
      </c>
      <c r="C102" s="1" t="n">
        <v>45799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21220-2023</t>
        </is>
      </c>
      <c r="B103" s="1" t="n">
        <v>45058</v>
      </c>
      <c r="C103" s="1" t="n">
        <v>45799</v>
      </c>
      <c r="D103" t="inlineStr">
        <is>
          <t>VÄSTRA GÖTALANDS LÄN</t>
        </is>
      </c>
      <c r="E103" t="inlineStr">
        <is>
          <t>KUNGÄLV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21240-2023</t>
        </is>
      </c>
      <c r="B104" s="1" t="n">
        <v>45058</v>
      </c>
      <c r="C104" s="1" t="n">
        <v>45799</v>
      </c>
      <c r="D104" t="inlineStr">
        <is>
          <t>VÄSTRA GÖTALANDS LÄN</t>
        </is>
      </c>
      <c r="E104" t="inlineStr">
        <is>
          <t>KUNGÄLV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21281-2023</t>
        </is>
      </c>
      <c r="B105" s="1" t="n">
        <v>45058</v>
      </c>
      <c r="C105" s="1" t="n">
        <v>45799</v>
      </c>
      <c r="D105" t="inlineStr">
        <is>
          <t>VÄSTRA GÖTALANDS LÄN</t>
        </is>
      </c>
      <c r="E105" t="inlineStr">
        <is>
          <t>KUNGÄLV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21389-2023</t>
        </is>
      </c>
      <c r="B106" s="1" t="n">
        <v>45063</v>
      </c>
      <c r="C106" s="1" t="n">
        <v>45799</v>
      </c>
      <c r="D106" t="inlineStr">
        <is>
          <t>VÄSTRA GÖTALANDS LÄN</t>
        </is>
      </c>
      <c r="E106" t="inlineStr">
        <is>
          <t>KUNGÄLV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21393-2023</t>
        </is>
      </c>
      <c r="B107" s="1" t="n">
        <v>45063</v>
      </c>
      <c r="C107" s="1" t="n">
        <v>45799</v>
      </c>
      <c r="D107" t="inlineStr">
        <is>
          <t>VÄSTRA GÖTALANDS LÄN</t>
        </is>
      </c>
      <c r="E107" t="inlineStr">
        <is>
          <t>KUNGÄLV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24461-2023</t>
        </is>
      </c>
      <c r="B108" s="1" t="n">
        <v>45082</v>
      </c>
      <c r="C108" s="1" t="n">
        <v>45799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32272-2023</t>
        </is>
      </c>
      <c r="B109" s="1" t="n">
        <v>45120</v>
      </c>
      <c r="C109" s="1" t="n">
        <v>45799</v>
      </c>
      <c r="D109" t="inlineStr">
        <is>
          <t>VÄSTRA GÖTALANDS LÄN</t>
        </is>
      </c>
      <c r="E109" t="inlineStr">
        <is>
          <t>KUNGÄLV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32847-2023</t>
        </is>
      </c>
      <c r="B110" s="1" t="n">
        <v>45124</v>
      </c>
      <c r="C110" s="1" t="n">
        <v>45799</v>
      </c>
      <c r="D110" t="inlineStr">
        <is>
          <t>VÄSTRA GÖTALANDS LÄN</t>
        </is>
      </c>
      <c r="E110" t="inlineStr">
        <is>
          <t>KUNGÄLV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34202-2023</t>
        </is>
      </c>
      <c r="B111" s="1" t="n">
        <v>45138</v>
      </c>
      <c r="C111" s="1" t="n">
        <v>45799</v>
      </c>
      <c r="D111" t="inlineStr">
        <is>
          <t>VÄSTRA GÖTALANDS LÄN</t>
        </is>
      </c>
      <c r="E111" t="inlineStr">
        <is>
          <t>KUNGÄLV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37120-2023</t>
        </is>
      </c>
      <c r="B112" s="1" t="n">
        <v>45155</v>
      </c>
      <c r="C112" s="1" t="n">
        <v>45799</v>
      </c>
      <c r="D112" t="inlineStr">
        <is>
          <t>VÄSTRA GÖTALANDS LÄN</t>
        </is>
      </c>
      <c r="E112" t="inlineStr">
        <is>
          <t>KUNGÄLV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38167-2023</t>
        </is>
      </c>
      <c r="B113" s="1" t="n">
        <v>45161</v>
      </c>
      <c r="C113" s="1" t="n">
        <v>45799</v>
      </c>
      <c r="D113" t="inlineStr">
        <is>
          <t>VÄSTRA GÖTALANDS LÄN</t>
        </is>
      </c>
      <c r="E113" t="inlineStr">
        <is>
          <t>KUNGÄLV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38171-2023</t>
        </is>
      </c>
      <c r="B114" s="1" t="n">
        <v>45161</v>
      </c>
      <c r="C114" s="1" t="n">
        <v>45799</v>
      </c>
      <c r="D114" t="inlineStr">
        <is>
          <t>VÄSTRA GÖTALANDS LÄN</t>
        </is>
      </c>
      <c r="E114" t="inlineStr">
        <is>
          <t>KUNGÄLV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44176-2023</t>
        </is>
      </c>
      <c r="B115" s="1" t="n">
        <v>45188</v>
      </c>
      <c r="C115" s="1" t="n">
        <v>45799</v>
      </c>
      <c r="D115" t="inlineStr">
        <is>
          <t>VÄSTRA GÖTALANDS LÄN</t>
        </is>
      </c>
      <c r="E115" t="inlineStr">
        <is>
          <t>KUNGÄLV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44947-2023</t>
        </is>
      </c>
      <c r="B116" s="1" t="n">
        <v>45190</v>
      </c>
      <c r="C116" s="1" t="n">
        <v>45799</v>
      </c>
      <c r="D116" t="inlineStr">
        <is>
          <t>VÄSTRA GÖTALANDS LÄN</t>
        </is>
      </c>
      <c r="E116" t="inlineStr">
        <is>
          <t>KUNGÄLV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44951-2023</t>
        </is>
      </c>
      <c r="B117" s="1" t="n">
        <v>45190</v>
      </c>
      <c r="C117" s="1" t="n">
        <v>45799</v>
      </c>
      <c r="D117" t="inlineStr">
        <is>
          <t>VÄSTRA GÖTALANDS LÄN</t>
        </is>
      </c>
      <c r="E117" t="inlineStr">
        <is>
          <t>KUNGÄLV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50071-2023</t>
        </is>
      </c>
      <c r="B118" s="1" t="n">
        <v>45215</v>
      </c>
      <c r="C118" s="1" t="n">
        <v>45799</v>
      </c>
      <c r="D118" t="inlineStr">
        <is>
          <t>VÄSTRA GÖTALANDS LÄN</t>
        </is>
      </c>
      <c r="E118" t="inlineStr">
        <is>
          <t>KUNGÄLV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49981-2023</t>
        </is>
      </c>
      <c r="B119" s="1" t="n">
        <v>45215</v>
      </c>
      <c r="C119" s="1" t="n">
        <v>45799</v>
      </c>
      <c r="D119" t="inlineStr">
        <is>
          <t>VÄSTRA GÖTALANDS LÄN</t>
        </is>
      </c>
      <c r="E119" t="inlineStr">
        <is>
          <t>KUNGÄLV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49985-2023</t>
        </is>
      </c>
      <c r="B120" s="1" t="n">
        <v>45215</v>
      </c>
      <c r="C120" s="1" t="n">
        <v>45799</v>
      </c>
      <c r="D120" t="inlineStr">
        <is>
          <t>VÄSTRA GÖTALANDS LÄN</t>
        </is>
      </c>
      <c r="E120" t="inlineStr">
        <is>
          <t>KUNGÄLV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51724-2023</t>
        </is>
      </c>
      <c r="B121" s="1" t="n">
        <v>45222</v>
      </c>
      <c r="C121" s="1" t="n">
        <v>45799</v>
      </c>
      <c r="D121" t="inlineStr">
        <is>
          <t>VÄSTRA GÖTALANDS LÄN</t>
        </is>
      </c>
      <c r="E121" t="inlineStr">
        <is>
          <t>KUNGÄLV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59123-2023</t>
        </is>
      </c>
      <c r="B122" s="1" t="n">
        <v>45253</v>
      </c>
      <c r="C122" s="1" t="n">
        <v>45799</v>
      </c>
      <c r="D122" t="inlineStr">
        <is>
          <t>VÄSTRA GÖTALANDS LÄN</t>
        </is>
      </c>
      <c r="E122" t="inlineStr">
        <is>
          <t>KUNGÄLV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59825-2023</t>
        </is>
      </c>
      <c r="B123" s="1" t="n">
        <v>45257</v>
      </c>
      <c r="C123" s="1" t="n">
        <v>45799</v>
      </c>
      <c r="D123" t="inlineStr">
        <is>
          <t>VÄSTRA GÖTALANDS LÄN</t>
        </is>
      </c>
      <c r="E123" t="inlineStr">
        <is>
          <t>KUNGÄLV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61343-2023</t>
        </is>
      </c>
      <c r="B124" s="1" t="n">
        <v>45264</v>
      </c>
      <c r="C124" s="1" t="n">
        <v>45799</v>
      </c>
      <c r="D124" t="inlineStr">
        <is>
          <t>VÄSTRA GÖTALANDS LÄN</t>
        </is>
      </c>
      <c r="E124" t="inlineStr">
        <is>
          <t>KUNGÄLV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62221-2023</t>
        </is>
      </c>
      <c r="B125" s="1" t="n">
        <v>45267</v>
      </c>
      <c r="C125" s="1" t="n">
        <v>45799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62979-2023</t>
        </is>
      </c>
      <c r="B126" s="1" t="n">
        <v>45271</v>
      </c>
      <c r="C126" s="1" t="n">
        <v>45799</v>
      </c>
      <c r="D126" t="inlineStr">
        <is>
          <t>VÄSTRA GÖTALANDS LÄN</t>
        </is>
      </c>
      <c r="E126" t="inlineStr">
        <is>
          <t>KUNGÄLV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769-2024</t>
        </is>
      </c>
      <c r="B127" s="1" t="n">
        <v>45300</v>
      </c>
      <c r="C127" s="1" t="n">
        <v>45799</v>
      </c>
      <c r="D127" t="inlineStr">
        <is>
          <t>VÄSTRA GÖTALANDS LÄN</t>
        </is>
      </c>
      <c r="E127" t="inlineStr">
        <is>
          <t>KUNGÄLV</t>
        </is>
      </c>
      <c r="G127" t="n">
        <v>14.9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1998-2024</t>
        </is>
      </c>
      <c r="B128" s="1" t="n">
        <v>45308</v>
      </c>
      <c r="C128" s="1" t="n">
        <v>45799</v>
      </c>
      <c r="D128" t="inlineStr">
        <is>
          <t>VÄSTRA GÖTALANDS LÄN</t>
        </is>
      </c>
      <c r="E128" t="inlineStr">
        <is>
          <t>KUNGÄLV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1995-2024</t>
        </is>
      </c>
      <c r="B129" s="1" t="n">
        <v>45308</v>
      </c>
      <c r="C129" s="1" t="n">
        <v>45799</v>
      </c>
      <c r="D129" t="inlineStr">
        <is>
          <t>VÄSTRA GÖTALANDS LÄN</t>
        </is>
      </c>
      <c r="E129" t="inlineStr">
        <is>
          <t>KUNGÄLV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4262-2024</t>
        </is>
      </c>
      <c r="B130" s="1" t="n">
        <v>45324</v>
      </c>
      <c r="C130" s="1" t="n">
        <v>45799</v>
      </c>
      <c r="D130" t="inlineStr">
        <is>
          <t>VÄSTRA GÖTALANDS LÄN</t>
        </is>
      </c>
      <c r="E130" t="inlineStr">
        <is>
          <t>KUNGÄLV</t>
        </is>
      </c>
      <c r="G130" t="n">
        <v>14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4204-2024</t>
        </is>
      </c>
      <c r="B131" s="1" t="n">
        <v>45324</v>
      </c>
      <c r="C131" s="1" t="n">
        <v>45799</v>
      </c>
      <c r="D131" t="inlineStr">
        <is>
          <t>VÄSTRA GÖTALANDS LÄN</t>
        </is>
      </c>
      <c r="E131" t="inlineStr">
        <is>
          <t>KUNGÄLV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4263-2024</t>
        </is>
      </c>
      <c r="B132" s="1" t="n">
        <v>45324</v>
      </c>
      <c r="C132" s="1" t="n">
        <v>45799</v>
      </c>
      <c r="D132" t="inlineStr">
        <is>
          <t>VÄSTRA GÖTALANDS LÄN</t>
        </is>
      </c>
      <c r="E132" t="inlineStr">
        <is>
          <t>KUNGÄLV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5631-2024</t>
        </is>
      </c>
      <c r="B133" s="1" t="n">
        <v>45334</v>
      </c>
      <c r="C133" s="1" t="n">
        <v>45799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7505-2024</t>
        </is>
      </c>
      <c r="B134" s="1" t="n">
        <v>45347</v>
      </c>
      <c r="C134" s="1" t="n">
        <v>45799</v>
      </c>
      <c r="D134" t="inlineStr">
        <is>
          <t>VÄSTRA GÖTALANDS LÄN</t>
        </is>
      </c>
      <c r="E134" t="inlineStr">
        <is>
          <t>KUNGÄLV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10313-2024</t>
        </is>
      </c>
      <c r="B135" s="1" t="n">
        <v>45365</v>
      </c>
      <c r="C135" s="1" t="n">
        <v>45799</v>
      </c>
      <c r="D135" t="inlineStr">
        <is>
          <t>VÄSTRA GÖTALANDS LÄN</t>
        </is>
      </c>
      <c r="E135" t="inlineStr">
        <is>
          <t>KUNGÄLV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13529-2024</t>
        </is>
      </c>
      <c r="B136" s="1" t="n">
        <v>45387</v>
      </c>
      <c r="C136" s="1" t="n">
        <v>45799</v>
      </c>
      <c r="D136" t="inlineStr">
        <is>
          <t>VÄSTRA GÖTALANDS LÄN</t>
        </is>
      </c>
      <c r="E136" t="inlineStr">
        <is>
          <t>KUNGÄLV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13881-2024</t>
        </is>
      </c>
      <c r="B137" s="1" t="n">
        <v>45391</v>
      </c>
      <c r="C137" s="1" t="n">
        <v>45799</v>
      </c>
      <c r="D137" t="inlineStr">
        <is>
          <t>VÄSTRA GÖTALANDS LÄN</t>
        </is>
      </c>
      <c r="E137" t="inlineStr">
        <is>
          <t>KUNGÄLV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13880-2024</t>
        </is>
      </c>
      <c r="B138" s="1" t="n">
        <v>45391</v>
      </c>
      <c r="C138" s="1" t="n">
        <v>45799</v>
      </c>
      <c r="D138" t="inlineStr">
        <is>
          <t>VÄSTRA GÖTALANDS LÄN</t>
        </is>
      </c>
      <c r="E138" t="inlineStr">
        <is>
          <t>KUNGÄLV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14243-2024</t>
        </is>
      </c>
      <c r="B139" s="1" t="n">
        <v>45393</v>
      </c>
      <c r="C139" s="1" t="n">
        <v>45799</v>
      </c>
      <c r="D139" t="inlineStr">
        <is>
          <t>VÄSTRA GÖTALANDS LÄN</t>
        </is>
      </c>
      <c r="E139" t="inlineStr">
        <is>
          <t>KUNGÄLV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16651-2024</t>
        </is>
      </c>
      <c r="B140" s="1" t="n">
        <v>45408</v>
      </c>
      <c r="C140" s="1" t="n">
        <v>45799</v>
      </c>
      <c r="D140" t="inlineStr">
        <is>
          <t>VÄSTRA GÖTALANDS LÄN</t>
        </is>
      </c>
      <c r="E140" t="inlineStr">
        <is>
          <t>KUNGÄLV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18852-2024</t>
        </is>
      </c>
      <c r="B141" s="1" t="n">
        <v>45426</v>
      </c>
      <c r="C141" s="1" t="n">
        <v>45799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18851-2024</t>
        </is>
      </c>
      <c r="B142" s="1" t="n">
        <v>45426</v>
      </c>
      <c r="C142" s="1" t="n">
        <v>45799</v>
      </c>
      <c r="D142" t="inlineStr">
        <is>
          <t>VÄSTRA GÖTALANDS LÄN</t>
        </is>
      </c>
      <c r="E142" t="inlineStr">
        <is>
          <t>KUNGÄLV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20700-2024</t>
        </is>
      </c>
      <c r="B143" s="1" t="n">
        <v>45436</v>
      </c>
      <c r="C143" s="1" t="n">
        <v>45799</v>
      </c>
      <c r="D143" t="inlineStr">
        <is>
          <t>VÄSTRA GÖTALANDS LÄN</t>
        </is>
      </c>
      <c r="E143" t="inlineStr">
        <is>
          <t>KUNGÄLV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23457-2024</t>
        </is>
      </c>
      <c r="B144" s="1" t="n">
        <v>45453</v>
      </c>
      <c r="C144" s="1" t="n">
        <v>45799</v>
      </c>
      <c r="D144" t="inlineStr">
        <is>
          <t>VÄSTRA GÖTALANDS LÄN</t>
        </is>
      </c>
      <c r="E144" t="inlineStr">
        <is>
          <t>KUNGÄLV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24162-2024</t>
        </is>
      </c>
      <c r="B145" s="1" t="n">
        <v>45456</v>
      </c>
      <c r="C145" s="1" t="n">
        <v>45799</v>
      </c>
      <c r="D145" t="inlineStr">
        <is>
          <t>VÄSTRA GÖTALANDS LÄN</t>
        </is>
      </c>
      <c r="E145" t="inlineStr">
        <is>
          <t>KUNGÄLV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24700-2024</t>
        </is>
      </c>
      <c r="B146" s="1" t="n">
        <v>45460</v>
      </c>
      <c r="C146" s="1" t="n">
        <v>45799</v>
      </c>
      <c r="D146" t="inlineStr">
        <is>
          <t>VÄSTRA GÖTALANDS LÄN</t>
        </is>
      </c>
      <c r="E146" t="inlineStr">
        <is>
          <t>KUNGÄLV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26812-2024</t>
        </is>
      </c>
      <c r="B147" s="1" t="n">
        <v>45470</v>
      </c>
      <c r="C147" s="1" t="n">
        <v>45799</v>
      </c>
      <c r="D147" t="inlineStr">
        <is>
          <t>VÄSTRA GÖTALANDS LÄN</t>
        </is>
      </c>
      <c r="E147" t="inlineStr">
        <is>
          <t>KUNGÄLV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27463-2024</t>
        </is>
      </c>
      <c r="B148" s="1" t="n">
        <v>45474</v>
      </c>
      <c r="C148" s="1" t="n">
        <v>45799</v>
      </c>
      <c r="D148" t="inlineStr">
        <is>
          <t>VÄSTRA GÖTALANDS LÄN</t>
        </is>
      </c>
      <c r="E148" t="inlineStr">
        <is>
          <t>KUNGÄLV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29223-2024</t>
        </is>
      </c>
      <c r="B149" s="1" t="n">
        <v>45482</v>
      </c>
      <c r="C149" s="1" t="n">
        <v>45799</v>
      </c>
      <c r="D149" t="inlineStr">
        <is>
          <t>VÄSTRA GÖTALANDS LÄN</t>
        </is>
      </c>
      <c r="E149" t="inlineStr">
        <is>
          <t>KUNGÄLV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39714-2024</t>
        </is>
      </c>
      <c r="B150" s="1" t="n">
        <v>45552</v>
      </c>
      <c r="C150" s="1" t="n">
        <v>45799</v>
      </c>
      <c r="D150" t="inlineStr">
        <is>
          <t>VÄSTRA GÖTALANDS LÄN</t>
        </is>
      </c>
      <c r="E150" t="inlineStr">
        <is>
          <t>KUNGÄLV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49123-2024</t>
        </is>
      </c>
      <c r="B151" s="1" t="n">
        <v>45594</v>
      </c>
      <c r="C151" s="1" t="n">
        <v>45799</v>
      </c>
      <c r="D151" t="inlineStr">
        <is>
          <t>VÄSTRA GÖTALANDS LÄN</t>
        </is>
      </c>
      <c r="E151" t="inlineStr">
        <is>
          <t>KUNGÄLV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49135-2024</t>
        </is>
      </c>
      <c r="B152" s="1" t="n">
        <v>45594</v>
      </c>
      <c r="C152" s="1" t="n">
        <v>45799</v>
      </c>
      <c r="D152" t="inlineStr">
        <is>
          <t>VÄSTRA GÖTALANDS LÄN</t>
        </is>
      </c>
      <c r="E152" t="inlineStr">
        <is>
          <t>KUNGÄLV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55830-2024</t>
        </is>
      </c>
      <c r="B153" s="1" t="n">
        <v>45623</v>
      </c>
      <c r="C153" s="1" t="n">
        <v>45799</v>
      </c>
      <c r="D153" t="inlineStr">
        <is>
          <t>VÄSTRA GÖTALANDS LÄN</t>
        </is>
      </c>
      <c r="E153" t="inlineStr">
        <is>
          <t>KUNGÄLV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57418-2024</t>
        </is>
      </c>
      <c r="B154" s="1" t="n">
        <v>45629</v>
      </c>
      <c r="C154" s="1" t="n">
        <v>45799</v>
      </c>
      <c r="D154" t="inlineStr">
        <is>
          <t>VÄSTRA GÖTALANDS LÄN</t>
        </is>
      </c>
      <c r="E154" t="inlineStr">
        <is>
          <t>KUNGÄLV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60037-2024</t>
        </is>
      </c>
      <c r="B155" s="1" t="n">
        <v>45642</v>
      </c>
      <c r="C155" s="1" t="n">
        <v>45799</v>
      </c>
      <c r="D155" t="inlineStr">
        <is>
          <t>VÄSTRA GÖTALANDS LÄN</t>
        </is>
      </c>
      <c r="E155" t="inlineStr">
        <is>
          <t>KUNGÄLV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60605-2024</t>
        </is>
      </c>
      <c r="B156" s="1" t="n">
        <v>45644</v>
      </c>
      <c r="C156" s="1" t="n">
        <v>45799</v>
      </c>
      <c r="D156" t="inlineStr">
        <is>
          <t>VÄSTRA GÖTALANDS LÄN</t>
        </is>
      </c>
      <c r="E156" t="inlineStr">
        <is>
          <t>KUNGÄLV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60603-2024</t>
        </is>
      </c>
      <c r="B157" s="1" t="n">
        <v>45644</v>
      </c>
      <c r="C157" s="1" t="n">
        <v>45799</v>
      </c>
      <c r="D157" t="inlineStr">
        <is>
          <t>VÄSTRA GÖTALANDS LÄN</t>
        </is>
      </c>
      <c r="E157" t="inlineStr">
        <is>
          <t>KUNGÄLV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661-2025</t>
        </is>
      </c>
      <c r="B158" s="1" t="n">
        <v>45664</v>
      </c>
      <c r="C158" s="1" t="n">
        <v>45799</v>
      </c>
      <c r="D158" t="inlineStr">
        <is>
          <t>VÄSTRA GÖTALANDS LÄN</t>
        </is>
      </c>
      <c r="E158" t="inlineStr">
        <is>
          <t>KUNGÄLV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2163-2025</t>
        </is>
      </c>
      <c r="B159" s="1" t="n">
        <v>45672</v>
      </c>
      <c r="C159" s="1" t="n">
        <v>45799</v>
      </c>
      <c r="D159" t="inlineStr">
        <is>
          <t>VÄSTRA GÖTALANDS LÄN</t>
        </is>
      </c>
      <c r="E159" t="inlineStr">
        <is>
          <t>KUNGÄLV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2164-2025</t>
        </is>
      </c>
      <c r="B160" s="1" t="n">
        <v>45672</v>
      </c>
      <c r="C160" s="1" t="n">
        <v>45799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5705-2025</t>
        </is>
      </c>
      <c r="B161" s="1" t="n">
        <v>45694</v>
      </c>
      <c r="C161" s="1" t="n">
        <v>45799</v>
      </c>
      <c r="D161" t="inlineStr">
        <is>
          <t>VÄSTRA GÖTALANDS LÄN</t>
        </is>
      </c>
      <c r="E161" t="inlineStr">
        <is>
          <t>KUNGÄLV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6041-2025</t>
        </is>
      </c>
      <c r="B162" s="1" t="n">
        <v>45695</v>
      </c>
      <c r="C162" s="1" t="n">
        <v>45799</v>
      </c>
      <c r="D162" t="inlineStr">
        <is>
          <t>VÄSTRA GÖTALANDS LÄN</t>
        </is>
      </c>
      <c r="E162" t="inlineStr">
        <is>
          <t>KUNGÄLV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6096-2025</t>
        </is>
      </c>
      <c r="B163" s="1" t="n">
        <v>45697</v>
      </c>
      <c r="C163" s="1" t="n">
        <v>45799</v>
      </c>
      <c r="D163" t="inlineStr">
        <is>
          <t>VÄSTRA GÖTALANDS LÄN</t>
        </is>
      </c>
      <c r="E163" t="inlineStr">
        <is>
          <t>KUNGÄLV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6082-2025</t>
        </is>
      </c>
      <c r="B164" s="1" t="n">
        <v>45697</v>
      </c>
      <c r="C164" s="1" t="n">
        <v>45799</v>
      </c>
      <c r="D164" t="inlineStr">
        <is>
          <t>VÄSTRA GÖTALANDS LÄN</t>
        </is>
      </c>
      <c r="E164" t="inlineStr">
        <is>
          <t>KUNGÄLV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8943-2025</t>
        </is>
      </c>
      <c r="B165" s="1" t="n">
        <v>45713</v>
      </c>
      <c r="C165" s="1" t="n">
        <v>45799</v>
      </c>
      <c r="D165" t="inlineStr">
        <is>
          <t>VÄSTRA GÖTALANDS LÄN</t>
        </is>
      </c>
      <c r="E165" t="inlineStr">
        <is>
          <t>KUNGÄLV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10677-2025</t>
        </is>
      </c>
      <c r="B166" s="1" t="n">
        <v>45721</v>
      </c>
      <c r="C166" s="1" t="n">
        <v>45799</v>
      </c>
      <c r="D166" t="inlineStr">
        <is>
          <t>VÄSTRA GÖTALANDS LÄN</t>
        </is>
      </c>
      <c r="E166" t="inlineStr">
        <is>
          <t>KUNGÄLV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10679-2025</t>
        </is>
      </c>
      <c r="B167" s="1" t="n">
        <v>45721</v>
      </c>
      <c r="C167" s="1" t="n">
        <v>45799</v>
      </c>
      <c r="D167" t="inlineStr">
        <is>
          <t>VÄSTRA GÖTALANDS LÄN</t>
        </is>
      </c>
      <c r="E167" t="inlineStr">
        <is>
          <t>KUNGÄLV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11237-2025</t>
        </is>
      </c>
      <c r="B168" s="1" t="n">
        <v>45726</v>
      </c>
      <c r="C168" s="1" t="n">
        <v>45799</v>
      </c>
      <c r="D168" t="inlineStr">
        <is>
          <t>VÄSTRA GÖTALANDS LÄN</t>
        </is>
      </c>
      <c r="E168" t="inlineStr">
        <is>
          <t>KUNGÄLV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15078-2025</t>
        </is>
      </c>
      <c r="B169" s="1" t="n">
        <v>45743</v>
      </c>
      <c r="C169" s="1" t="n">
        <v>45799</v>
      </c>
      <c r="D169" t="inlineStr">
        <is>
          <t>VÄSTRA GÖTALANDS LÄN</t>
        </is>
      </c>
      <c r="E169" t="inlineStr">
        <is>
          <t>KUNGÄLV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15611-2025</t>
        </is>
      </c>
      <c r="B170" s="1" t="n">
        <v>45748</v>
      </c>
      <c r="C170" s="1" t="n">
        <v>45799</v>
      </c>
      <c r="D170" t="inlineStr">
        <is>
          <t>VÄSTRA GÖTALANDS LÄN</t>
        </is>
      </c>
      <c r="E170" t="inlineStr">
        <is>
          <t>KUNGÄLV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15629-2025</t>
        </is>
      </c>
      <c r="B171" s="1" t="n">
        <v>45748</v>
      </c>
      <c r="C171" s="1" t="n">
        <v>45799</v>
      </c>
      <c r="D171" t="inlineStr">
        <is>
          <t>VÄSTRA GÖTALANDS LÄN</t>
        </is>
      </c>
      <c r="E171" t="inlineStr">
        <is>
          <t>KUNGÄLV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15624-2025</t>
        </is>
      </c>
      <c r="B172" s="1" t="n">
        <v>45748</v>
      </c>
      <c r="C172" s="1" t="n">
        <v>45799</v>
      </c>
      <c r="D172" t="inlineStr">
        <is>
          <t>VÄSTRA GÖTALANDS LÄN</t>
        </is>
      </c>
      <c r="E172" t="inlineStr">
        <is>
          <t>KUNGÄLV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16538-2025</t>
        </is>
      </c>
      <c r="B173" s="1" t="n">
        <v>45751</v>
      </c>
      <c r="C173" s="1" t="n">
        <v>45799</v>
      </c>
      <c r="D173" t="inlineStr">
        <is>
          <t>VÄSTRA GÖTALANDS LÄN</t>
        </is>
      </c>
      <c r="E173" t="inlineStr">
        <is>
          <t>KUNGÄLV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17455-2025</t>
        </is>
      </c>
      <c r="B174" s="1" t="n">
        <v>45757</v>
      </c>
      <c r="C174" s="1" t="n">
        <v>45799</v>
      </c>
      <c r="D174" t="inlineStr">
        <is>
          <t>VÄSTRA GÖTALANDS LÄN</t>
        </is>
      </c>
      <c r="E174" t="inlineStr">
        <is>
          <t>KUNGÄLV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17451-2025</t>
        </is>
      </c>
      <c r="B175" s="1" t="n">
        <v>45757</v>
      </c>
      <c r="C175" s="1" t="n">
        <v>45799</v>
      </c>
      <c r="D175" t="inlineStr">
        <is>
          <t>VÄSTRA GÖTALANDS LÄN</t>
        </is>
      </c>
      <c r="E175" t="inlineStr">
        <is>
          <t>KUNGÄLV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17922-2025</t>
        </is>
      </c>
      <c r="B176" s="1" t="n">
        <v>45758</v>
      </c>
      <c r="C176" s="1" t="n">
        <v>45799</v>
      </c>
      <c r="D176" t="inlineStr">
        <is>
          <t>VÄSTRA GÖTALANDS LÄN</t>
        </is>
      </c>
      <c r="E176" t="inlineStr">
        <is>
          <t>KUNGÄLV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17921-2025</t>
        </is>
      </c>
      <c r="B177" s="1" t="n">
        <v>45758</v>
      </c>
      <c r="C177" s="1" t="n">
        <v>45799</v>
      </c>
      <c r="D177" t="inlineStr">
        <is>
          <t>VÄSTRA GÖTALANDS LÄN</t>
        </is>
      </c>
      <c r="E177" t="inlineStr">
        <is>
          <t>KUNGÄLV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>
      <c r="A178" t="inlineStr">
        <is>
          <t>A 21579-2025</t>
        </is>
      </c>
      <c r="B178" s="1" t="n">
        <v>45782</v>
      </c>
      <c r="C178" s="1" t="n">
        <v>45799</v>
      </c>
      <c r="D178" t="inlineStr">
        <is>
          <t>VÄSTRA GÖTALANDS LÄN</t>
        </is>
      </c>
      <c r="E178" t="inlineStr">
        <is>
          <t>KUNGÄLV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2025-05-22T17:14:27Z</dcterms:created>
  <dcterms:modified xmlns:dcterms="http://purl.org/dc/terms/" xmlns:xsi="http://www.w3.org/2001/XMLSchema-instance" xsi:type="dcterms:W3CDTF">2025-05-22T17:14:27Z</dcterms:modified>
</cp:coreProperties>
</file>