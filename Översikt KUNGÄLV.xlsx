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38982-2024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45548</v>
      </c>
      <c r="E2" s="1" t="n">
        <v>46320</v>
      </c>
      <c r="F2" t="inlineStr">
        <is>
          <t>VÄSTRA GÖTALANDS LÄN</t>
        </is>
      </c>
      <c r="G2" t="inlineStr">
        <is>
          <t>KUNGÄLV</t>
        </is>
      </c>
      <c r="I2" t="n">
        <v>20.3</v>
      </c>
      <c r="J2" t="n">
        <v>7</v>
      </c>
      <c r="K2" t="n">
        <v>11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6</v>
      </c>
      <c r="R2" t="n">
        <v>2</v>
      </c>
      <c r="S2" t="n">
        <v>22</v>
      </c>
      <c r="T2" t="n">
        <v>41</v>
      </c>
      <c r="U2" t="n">
        <v>35</v>
      </c>
      <c r="V2" s="2" t="inlineStr">
        <is>
          <t>Gränsticka
Hedjohannesört
Brunpudrad nållav
Gransotdyna
Kortskaftad ärgspik
Talltita
Blåsfliksmossa
Brandticka
Bronshjon
Kambräken
Klippfrullania
Kornig nållav
Läderskål
Skuggmossa
Smal svampklubba
Stor revmossa
Vågbandad barkbock
Mattlummer
Spillkråka
Vanlig groda
Lopplummer (aggregat)
Revlummer</t>
        </is>
      </c>
      <c r="W2">
        <f>HYPERLINK("https://klasma.github.io/Logging_1482/artfynd/A 38982-2024 artfynd.xlsx", "A 38982-2024")</f>
        <v/>
      </c>
      <c r="X2">
        <f>HYPERLINK("https://klasma.github.io/Logging_1482/kartor/A 38982-2024 karta.png", "A 38982-2024")</f>
        <v/>
      </c>
      <c r="Y2">
        <f>HYPERLINK("https://klasma.github.io/Logging_1482/kartor_geotiff/A 38982-2024 georefererad karta.tif", "A 38982-2024")</f>
        <v/>
      </c>
      <c r="AA2">
        <f>HYPERLINK("https://klasma.github.io/Logging_1482/klagomål/A 38982-2024 FSC-klagomål.docx", "A 38982-2024")</f>
        <v/>
      </c>
      <c r="AB2">
        <f>HYPERLINK("https://klasma.github.io/Logging_1482/klagomålsmail/A 38982-2024 FSC-klagomål mail.docx", "A 38982-2024")</f>
        <v/>
      </c>
      <c r="AC2">
        <f>HYPERLINK("https://klasma.github.io/Logging_1482/tillsyn/A 38982-2024 tillsynsbegäran.docx", "A 38982-2024")</f>
        <v/>
      </c>
      <c r="AD2">
        <f>HYPERLINK("https://klasma.github.io/Logging_1482/tillsynsmail/A 38982-2024 tillsynsbegäran mail.docx", "A 38982-2024")</f>
        <v/>
      </c>
      <c r="AE2">
        <f>HYPERLINK("https://klasma.github.io/Logging_1482/fåglar/A 38982-2024 prioriterade fågelarter.docx", "A 38982-2024")</f>
        <v/>
      </c>
    </row>
    <row r="3" ht="15" customHeight="1">
      <c r="A3" t="inlineStr">
        <is>
          <t>A 36424-2025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45868</v>
      </c>
      <c r="E3" s="1" t="n">
        <v>46320</v>
      </c>
      <c r="F3" t="inlineStr">
        <is>
          <t>VÄSTRA GÖTALANDS LÄN</t>
        </is>
      </c>
      <c r="G3" t="inlineStr">
        <is>
          <t>KUNGÄLV</t>
        </is>
      </c>
      <c r="I3" t="n">
        <v>16.9</v>
      </c>
      <c r="J3" t="n">
        <v>5</v>
      </c>
      <c r="K3" t="n">
        <v>3</v>
      </c>
      <c r="L3" t="n">
        <v>6</v>
      </c>
      <c r="M3" t="n">
        <v>0</v>
      </c>
      <c r="N3" t="n">
        <v>1</v>
      </c>
      <c r="O3" t="n">
        <v>0</v>
      </c>
      <c r="P3" t="n">
        <v>0</v>
      </c>
      <c r="Q3" t="n">
        <v>7</v>
      </c>
      <c r="R3" t="n">
        <v>1</v>
      </c>
      <c r="S3" t="n">
        <v>12</v>
      </c>
      <c r="T3" t="n">
        <v>19</v>
      </c>
      <c r="U3" t="n">
        <v>16</v>
      </c>
      <c r="V3" s="2" t="inlineStr">
        <is>
          <t>Ask
Entita
Grönsångare
Skogshare
Sädesärla
Vedtrappmossa
Älg
Blanksvart trämyra
Blåmossa
Västlig hakmossa
Spillkråka
Revlummer</t>
        </is>
      </c>
      <c r="W3">
        <f>HYPERLINK("https://klasma.github.io/Logging_1482/artfynd/A 36424-2025 artfynd.xlsx", "A 36424-2025")</f>
        <v/>
      </c>
      <c r="X3">
        <f>HYPERLINK("https://klasma.github.io/Logging_1482/kartor/A 36424-2025 karta.png", "A 36424-2025")</f>
        <v/>
      </c>
      <c r="Y3">
        <f>HYPERLINK("https://klasma.github.io/Logging_1482/kartor_geotiff/A 36424-2025 georefererad karta.tif", "A 36424-2025")</f>
        <v/>
      </c>
      <c r="AA3">
        <f>HYPERLINK("https://klasma.github.io/Logging_1482/klagomål/A 36424-2025 FSC-klagomål.docx", "A 36424-2025")</f>
        <v/>
      </c>
      <c r="AB3">
        <f>HYPERLINK("https://klasma.github.io/Logging_1482/klagomålsmail/A 36424-2025 FSC-klagomål mail.docx", "A 36424-2025")</f>
        <v/>
      </c>
      <c r="AC3">
        <f>HYPERLINK("https://klasma.github.io/Logging_1482/tillsyn/A 36424-2025 tillsynsbegäran.docx", "A 36424-2025")</f>
        <v/>
      </c>
      <c r="AD3">
        <f>HYPERLINK("https://klasma.github.io/Logging_1482/tillsynsmail/A 36424-2025 tillsynsbegäran mail.docx", "A 36424-2025")</f>
        <v/>
      </c>
      <c r="AE3">
        <f>HYPERLINK("https://klasma.github.io/Logging_1482/fåglar/A 36424-2025 prioriterade fågelarter.docx", "A 36424-2025")</f>
        <v/>
      </c>
    </row>
    <row r="4" ht="15" customHeight="1">
      <c r="A4" t="inlineStr">
        <is>
          <t>A 34725-2024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45526</v>
      </c>
      <c r="E4" s="1" t="n">
        <v>46320</v>
      </c>
      <c r="F4" t="inlineStr">
        <is>
          <t>VÄSTRA GÖTALANDS LÄN</t>
        </is>
      </c>
      <c r="G4" t="inlineStr">
        <is>
          <t>KUNGÄLV</t>
        </is>
      </c>
      <c r="I4" t="n">
        <v>14.3</v>
      </c>
      <c r="J4" t="n">
        <v>3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6</v>
      </c>
      <c r="T4" t="n">
        <v>16</v>
      </c>
      <c r="U4" t="n">
        <v>15</v>
      </c>
      <c r="V4" s="2" t="inlineStr">
        <is>
          <t>Mindre hackspett
Blåmossa
Stor revmossa
Västlig hakmossa
Spillkråka
Kungsfågel</t>
        </is>
      </c>
      <c r="W4">
        <f>HYPERLINK("https://klasma.github.io/Logging_1482/artfynd/A 34725-2024 artfynd.xlsx", "A 34725-2024")</f>
        <v/>
      </c>
      <c r="X4">
        <f>HYPERLINK("https://klasma.github.io/Logging_1482/kartor/A 34725-2024 karta.png", "A 34725-2024")</f>
        <v/>
      </c>
      <c r="Y4">
        <f>HYPERLINK("https://klasma.github.io/Logging_1482/kartor_geotiff/A 34725-2024 georefererad karta.tif", "A 34725-2024")</f>
        <v/>
      </c>
      <c r="AA4">
        <f>HYPERLINK("https://klasma.github.io/Logging_1482/klagomål/A 34725-2024 FSC-klagomål.docx", "A 34725-2024")</f>
        <v/>
      </c>
      <c r="AB4">
        <f>HYPERLINK("https://klasma.github.io/Logging_1482/klagomålsmail/A 34725-2024 FSC-klagomål mail.docx", "A 34725-2024")</f>
        <v/>
      </c>
      <c r="AC4">
        <f>HYPERLINK("https://klasma.github.io/Logging_1482/tillsyn/A 34725-2024 tillsynsbegäran.docx", "A 34725-2024")</f>
        <v/>
      </c>
      <c r="AD4">
        <f>HYPERLINK("https://klasma.github.io/Logging_1482/tillsynsmail/A 34725-2024 tillsynsbegäran mail.docx", "A 34725-2024")</f>
        <v/>
      </c>
      <c r="AE4">
        <f>HYPERLINK("https://klasma.github.io/Logging_1482/fåglar/A 34725-2024 prioriterade fågelarter.docx", "A 34725-2024")</f>
        <v/>
      </c>
    </row>
    <row r="5" ht="15" customHeight="1">
      <c r="A5" t="inlineStr">
        <is>
          <t>A 45243-2025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45919</v>
      </c>
      <c r="E5" s="1" t="n">
        <v>46320</v>
      </c>
      <c r="F5" t="inlineStr">
        <is>
          <t>VÄSTRA GÖTALANDS LÄN</t>
        </is>
      </c>
      <c r="G5" t="inlineStr">
        <is>
          <t>KUNGÄLV</t>
        </is>
      </c>
      <c r="I5" t="n">
        <v>8.1</v>
      </c>
      <c r="J5" t="n">
        <v>5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5</v>
      </c>
      <c r="T5" t="n">
        <v>9</v>
      </c>
      <c r="U5" t="n">
        <v>0</v>
      </c>
      <c r="V5" s="2" t="inlineStr">
        <is>
          <t>Gulsparv
Nordfladdermus
Större vattensalamander
Mindre vattensalamander
Revlummer</t>
        </is>
      </c>
      <c r="W5">
        <f>HYPERLINK("https://klasma.github.io/Logging_1482/artfynd/A 45243-2025 artfynd.xlsx", "A 45243-2025")</f>
        <v/>
      </c>
      <c r="X5">
        <f>HYPERLINK("https://klasma.github.io/Logging_1482/kartor/A 45243-2025 karta.png", "A 45243-2025")</f>
        <v/>
      </c>
      <c r="Y5">
        <f>HYPERLINK("https://klasma.github.io/Logging_1482/kartor_geotiff/A 45243-2025 georefererad karta.tif", "A 45243-2025")</f>
        <v/>
      </c>
      <c r="AA5">
        <f>HYPERLINK("https://klasma.github.io/Logging_1482/klagomål/A 45243-2025 FSC-klagomål.docx", "A 45243-2025")</f>
        <v/>
      </c>
      <c r="AB5">
        <f>HYPERLINK("https://klasma.github.io/Logging_1482/klagomålsmail/A 45243-2025 FSC-klagomål mail.docx", "A 45243-2025")</f>
        <v/>
      </c>
      <c r="AC5">
        <f>HYPERLINK("https://klasma.github.io/Logging_1482/tillsyn/A 45243-2025 tillsynsbegäran.docx", "A 45243-2025")</f>
        <v/>
      </c>
      <c r="AD5">
        <f>HYPERLINK("https://klasma.github.io/Logging_1482/tillsynsmail/A 45243-2025 tillsynsbegäran mail.docx", "A 45243-2025")</f>
        <v/>
      </c>
      <c r="AE5">
        <f>HYPERLINK("https://klasma.github.io/Logging_1482/fåglar/A 45243-2025 prioriterade fågelarter.docx", "A 45243-2025")</f>
        <v/>
      </c>
    </row>
    <row r="6" ht="15" customHeight="1">
      <c r="A6" t="inlineStr">
        <is>
          <t>A 6041-2025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45695</v>
      </c>
      <c r="E6" s="1" t="n">
        <v>46320</v>
      </c>
      <c r="F6" t="inlineStr">
        <is>
          <t>VÄSTRA GÖTALANDS LÄN</t>
        </is>
      </c>
      <c r="G6" t="inlineStr">
        <is>
          <t>KUNGÄLV</t>
        </is>
      </c>
      <c r="I6" t="n">
        <v>8.800000000000001</v>
      </c>
      <c r="J6" t="n">
        <v>3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5</v>
      </c>
      <c r="T6" t="n">
        <v>10</v>
      </c>
      <c r="U6" t="n">
        <v>10</v>
      </c>
      <c r="V6" s="2" t="inlineStr">
        <is>
          <t>Björktrast
Talltita
Blåmossa
Kambräken
Spillkråka</t>
        </is>
      </c>
      <c r="W6">
        <f>HYPERLINK("https://klasma.github.io/Logging_1482/artfynd/A 6041-2025 artfynd.xlsx", "A 6041-2025")</f>
        <v/>
      </c>
      <c r="X6">
        <f>HYPERLINK("https://klasma.github.io/Logging_1482/kartor/A 6041-2025 karta.png", "A 6041-2025")</f>
        <v/>
      </c>
      <c r="Y6">
        <f>HYPERLINK("https://klasma.github.io/Logging_1482/kartor_geotiff/A 6041-2025 georefererad karta.tif", "A 6041-2025")</f>
        <v/>
      </c>
      <c r="AA6">
        <f>HYPERLINK("https://klasma.github.io/Logging_1482/klagomål/A 6041-2025 FSC-klagomål.docx", "A 6041-2025")</f>
        <v/>
      </c>
      <c r="AB6">
        <f>HYPERLINK("https://klasma.github.io/Logging_1482/klagomålsmail/A 6041-2025 FSC-klagomål mail.docx", "A 6041-2025")</f>
        <v/>
      </c>
      <c r="AC6">
        <f>HYPERLINK("https://klasma.github.io/Logging_1482/tillsyn/A 6041-2025 tillsynsbegäran.docx", "A 6041-2025")</f>
        <v/>
      </c>
      <c r="AD6">
        <f>HYPERLINK("https://klasma.github.io/Logging_1482/tillsynsmail/A 6041-2025 tillsynsbegäran mail.docx", "A 6041-2025")</f>
        <v/>
      </c>
      <c r="AE6">
        <f>HYPERLINK("https://klasma.github.io/Logging_1482/fåglar/A 6041-2025 prioriterade fågelarter.docx", "A 6041-2025")</f>
        <v/>
      </c>
    </row>
    <row r="7" ht="15" customHeight="1">
      <c r="A7" t="inlineStr">
        <is>
          <t>A 59985-2025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45993</v>
      </c>
      <c r="E7" s="1" t="n">
        <v>46320</v>
      </c>
      <c r="F7" t="inlineStr">
        <is>
          <t>VÄSTRA GÖTALANDS LÄN</t>
        </is>
      </c>
      <c r="G7" t="inlineStr">
        <is>
          <t>KUNGÄLV</t>
        </is>
      </c>
      <c r="I7" t="n">
        <v>5.3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19</v>
      </c>
      <c r="U7" t="n">
        <v>19</v>
      </c>
      <c r="V7" s="2" t="inlineStr">
        <is>
          <t>Blåmossa
Västlig hakmossa
Spillkråka
Äkta lopplummer</t>
        </is>
      </c>
      <c r="W7">
        <f>HYPERLINK("https://klasma.github.io/Logging_1482/artfynd/A 59985-2025 artfynd.xlsx", "A 59985-2025")</f>
        <v/>
      </c>
      <c r="X7">
        <f>HYPERLINK("https://klasma.github.io/Logging_1482/kartor/A 59985-2025 karta.png", "A 59985-2025")</f>
        <v/>
      </c>
      <c r="Y7">
        <f>HYPERLINK("https://klasma.github.io/Logging_1482/kartor_geotiff/A 59985-2025 georefererad karta.tif", "A 59985-2025")</f>
        <v/>
      </c>
      <c r="AA7">
        <f>HYPERLINK("https://klasma.github.io/Logging_1482/klagomål/A 59985-2025 FSC-klagomål.docx", "A 59985-2025")</f>
        <v/>
      </c>
      <c r="AB7">
        <f>HYPERLINK("https://klasma.github.io/Logging_1482/klagomålsmail/A 59985-2025 FSC-klagomål mail.docx", "A 59985-2025")</f>
        <v/>
      </c>
      <c r="AC7">
        <f>HYPERLINK("https://klasma.github.io/Logging_1482/tillsyn/A 59985-2025 tillsynsbegäran.docx", "A 59985-2025")</f>
        <v/>
      </c>
      <c r="AD7">
        <f>HYPERLINK("https://klasma.github.io/Logging_1482/tillsynsmail/A 59985-2025 tillsynsbegäran mail.docx", "A 59985-2025")</f>
        <v/>
      </c>
      <c r="AE7">
        <f>HYPERLINK("https://klasma.github.io/Logging_1482/fåglar/A 59985-2025 prioriterade fågelarter.docx", "A 59985-2025")</f>
        <v/>
      </c>
    </row>
    <row r="8" ht="15" customHeight="1">
      <c r="A8" t="inlineStr">
        <is>
          <t>A 4263-2024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45324</v>
      </c>
      <c r="E8" s="1" t="n">
        <v>46320</v>
      </c>
      <c r="F8" t="inlineStr">
        <is>
          <t>VÄSTRA GÖTALANDS LÄN</t>
        </is>
      </c>
      <c r="G8" t="inlineStr">
        <is>
          <t>KUNGÄLV</t>
        </is>
      </c>
      <c r="I8" t="n">
        <v>2.6</v>
      </c>
      <c r="J8" t="n">
        <v>3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6</v>
      </c>
      <c r="U8" t="n">
        <v>6</v>
      </c>
      <c r="V8" s="2" t="inlineStr">
        <is>
          <t>Mindre hackspett
Klippfrullania
Gråsiska
Spillkråka</t>
        </is>
      </c>
      <c r="W8">
        <f>HYPERLINK("https://klasma.github.io/Logging_1482/artfynd/A 4263-2024 artfynd.xlsx", "A 4263-2024")</f>
        <v/>
      </c>
      <c r="X8">
        <f>HYPERLINK("https://klasma.github.io/Logging_1482/kartor/A 4263-2024 karta.png", "A 4263-2024")</f>
        <v/>
      </c>
      <c r="Y8">
        <f>HYPERLINK("https://klasma.github.io/Logging_1482/kartor_geotiff/A 4263-2024 georefererad karta.tif", "A 4263-2024")</f>
        <v/>
      </c>
      <c r="AA8">
        <f>HYPERLINK("https://klasma.github.io/Logging_1482/klagomål/A 4263-2024 FSC-klagomål.docx", "A 4263-2024")</f>
        <v/>
      </c>
      <c r="AB8">
        <f>HYPERLINK("https://klasma.github.io/Logging_1482/klagomålsmail/A 4263-2024 FSC-klagomål mail.docx", "A 4263-2024")</f>
        <v/>
      </c>
      <c r="AC8">
        <f>HYPERLINK("https://klasma.github.io/Logging_1482/tillsyn/A 4263-2024 tillsynsbegäran.docx", "A 4263-2024")</f>
        <v/>
      </c>
      <c r="AD8">
        <f>HYPERLINK("https://klasma.github.io/Logging_1482/tillsynsmail/A 4263-2024 tillsynsbegäran mail.docx", "A 4263-2024")</f>
        <v/>
      </c>
      <c r="AE8">
        <f>HYPERLINK("https://klasma.github.io/Logging_1482/fåglar/A 4263-2024 prioriterade fågelarter.docx", "A 4263-2024")</f>
        <v/>
      </c>
    </row>
    <row r="9" ht="15" customHeight="1">
      <c r="A9" t="inlineStr">
        <is>
          <t>A 29061-2026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46199</v>
      </c>
      <c r="E9" s="1" t="n">
        <v>46320</v>
      </c>
      <c r="F9" t="inlineStr">
        <is>
          <t>VÄSTRA GÖTALANDS LÄN</t>
        </is>
      </c>
      <c r="G9" t="inlineStr">
        <is>
          <t>KUNGÄLV</t>
        </is>
      </c>
      <c r="I9" t="n">
        <v>7.5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4</v>
      </c>
      <c r="U9" t="n">
        <v>0</v>
      </c>
      <c r="V9" s="2" t="inlineStr">
        <is>
          <t>Blåsippa
Spillkråka
Skogsödla</t>
        </is>
      </c>
      <c r="W9">
        <f>HYPERLINK("https://klasma.github.io/Logging_1482/artfynd/A 29061-2026 artfynd.xlsx", "A 29061-2026")</f>
        <v/>
      </c>
      <c r="X9">
        <f>HYPERLINK("https://klasma.github.io/Logging_1482/kartor/A 29061-2026 karta.png", "A 29061-2026")</f>
        <v/>
      </c>
      <c r="Y9">
        <f>HYPERLINK("https://klasma.github.io/Logging_1482/kartor_geotiff/A 29061-2026 georefererad karta.tif", "A 29061-2026")</f>
        <v/>
      </c>
      <c r="AA9">
        <f>HYPERLINK("https://klasma.github.io/Logging_1482/klagomål/A 29061-2026 FSC-klagomål.docx", "A 29061-2026")</f>
        <v/>
      </c>
      <c r="AB9">
        <f>HYPERLINK("https://klasma.github.io/Logging_1482/klagomålsmail/A 29061-2026 FSC-klagomål mail.docx", "A 29061-2026")</f>
        <v/>
      </c>
      <c r="AC9">
        <f>HYPERLINK("https://klasma.github.io/Logging_1482/tillsyn/A 29061-2026 tillsynsbegäran.docx", "A 29061-2026")</f>
        <v/>
      </c>
      <c r="AD9">
        <f>HYPERLINK("https://klasma.github.io/Logging_1482/tillsynsmail/A 29061-2026 tillsynsbegäran mail.docx", "A 29061-2026")</f>
        <v/>
      </c>
      <c r="AE9">
        <f>HYPERLINK("https://klasma.github.io/Logging_1482/fåglar/A 29061-2026 prioriterade fågelarter.docx", "A 29061-2026")</f>
        <v/>
      </c>
    </row>
    <row r="10" ht="15" customHeight="1">
      <c r="A10" t="inlineStr">
        <is>
          <t>A 58408-2025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45985</v>
      </c>
      <c r="E10" s="1" t="n">
        <v>46320</v>
      </c>
      <c r="F10" t="inlineStr">
        <is>
          <t>VÄSTRA GÖTALANDS LÄN</t>
        </is>
      </c>
      <c r="G10" t="inlineStr">
        <is>
          <t>KUNGÄLV</t>
        </is>
      </c>
      <c r="I10" t="n">
        <v>8.1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3</v>
      </c>
      <c r="T10" t="n">
        <v>3</v>
      </c>
      <c r="U10" t="n">
        <v>3</v>
      </c>
      <c r="V10" s="2" t="inlineStr">
        <is>
          <t>Älg
Spillkråka
Revlummer</t>
        </is>
      </c>
      <c r="W10">
        <f>HYPERLINK("https://klasma.github.io/Logging_1482/artfynd/A 58408-2025 artfynd.xlsx", "A 58408-2025")</f>
        <v/>
      </c>
      <c r="X10">
        <f>HYPERLINK("https://klasma.github.io/Logging_1482/kartor/A 58408-2025 karta.png", "A 58408-2025")</f>
        <v/>
      </c>
      <c r="Y10">
        <f>HYPERLINK("https://klasma.github.io/Logging_1482/kartor_geotiff/A 58408-2025 georefererad karta.tif", "A 58408-2025")</f>
        <v/>
      </c>
      <c r="AA10">
        <f>HYPERLINK("https://klasma.github.io/Logging_1482/klagomål/A 58408-2025 FSC-klagomål.docx", "A 58408-2025")</f>
        <v/>
      </c>
      <c r="AB10">
        <f>HYPERLINK("https://klasma.github.io/Logging_1482/klagomålsmail/A 58408-2025 FSC-klagomål mail.docx", "A 58408-2025")</f>
        <v/>
      </c>
      <c r="AC10">
        <f>HYPERLINK("https://klasma.github.io/Logging_1482/tillsyn/A 58408-2025 tillsynsbegäran.docx", "A 58408-2025")</f>
        <v/>
      </c>
      <c r="AD10">
        <f>HYPERLINK("https://klasma.github.io/Logging_1482/tillsynsmail/A 58408-2025 tillsynsbegäran mail.docx", "A 58408-2025")</f>
        <v/>
      </c>
      <c r="AE10">
        <f>HYPERLINK("https://klasma.github.io/Logging_1482/fåglar/A 58408-2025 prioriterade fågelarter.docx", "A 58408-2025")</f>
        <v/>
      </c>
    </row>
    <row r="11" ht="15" customHeight="1">
      <c r="A11" t="inlineStr">
        <is>
          <t>A 8558-2024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45355</v>
      </c>
      <c r="E11" s="1" t="n">
        <v>46320</v>
      </c>
      <c r="F11" t="inlineStr">
        <is>
          <t>VÄSTRA GÖTALANDS LÄN</t>
        </is>
      </c>
      <c r="G11" t="inlineStr">
        <is>
          <t>KUNGÄLV</t>
        </is>
      </c>
      <c r="I11" t="n">
        <v>12.5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Gulsparv
Spillkråka
Revlummer</t>
        </is>
      </c>
      <c r="W11">
        <f>HYPERLINK("https://klasma.github.io/Logging_1482/artfynd/A 8558-2024 artfynd.xlsx", "A 8558-2024")</f>
        <v/>
      </c>
      <c r="X11">
        <f>HYPERLINK("https://klasma.github.io/Logging_1482/kartor/A 8558-2024 karta.png", "A 8558-2024")</f>
        <v/>
      </c>
      <c r="Y11">
        <f>HYPERLINK("https://klasma.github.io/Logging_1482/kartor_geotiff/A 8558-2024 georefererad karta.tif", "A 8558-2024")</f>
        <v/>
      </c>
      <c r="AA11">
        <f>HYPERLINK("https://klasma.github.io/Logging_1482/klagomål/A 8558-2024 FSC-klagomål.docx", "A 8558-2024")</f>
        <v/>
      </c>
      <c r="AB11">
        <f>HYPERLINK("https://klasma.github.io/Logging_1482/klagomålsmail/A 8558-2024 FSC-klagomål mail.docx", "A 8558-2024")</f>
        <v/>
      </c>
      <c r="AC11">
        <f>HYPERLINK("https://klasma.github.io/Logging_1482/tillsyn/A 8558-2024 tillsynsbegäran.docx", "A 8558-2024")</f>
        <v/>
      </c>
      <c r="AD11">
        <f>HYPERLINK("https://klasma.github.io/Logging_1482/tillsynsmail/A 8558-2024 tillsynsbegäran mail.docx", "A 8558-2024")</f>
        <v/>
      </c>
      <c r="AE11">
        <f>HYPERLINK("https://klasma.github.io/Logging_1482/fåglar/A 8558-2024 prioriterade fågelarter.docx", "A 8558-2024")</f>
        <v/>
      </c>
    </row>
    <row r="12" ht="15" customHeight="1">
      <c r="A12" t="inlineStr">
        <is>
          <t>A 30872-2026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46212</v>
      </c>
      <c r="E12" s="1" t="n">
        <v>46320</v>
      </c>
      <c r="F12" t="inlineStr">
        <is>
          <t>VÄSTRA GÖTALANDS LÄN</t>
        </is>
      </c>
      <c r="G12" t="inlineStr">
        <is>
          <t>KUNGÄLV</t>
        </is>
      </c>
      <c r="I12" t="n">
        <v>2.4</v>
      </c>
      <c r="J12" t="n">
        <v>1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3</v>
      </c>
      <c r="U12" t="n">
        <v>3</v>
      </c>
      <c r="V12" s="2" t="inlineStr">
        <is>
          <t>Blåmossa
Platt fjädermossa
Spillkråka</t>
        </is>
      </c>
      <c r="W12">
        <f>HYPERLINK("https://klasma.github.io/Logging_1482/artfynd/A 30872-2026 artfynd.xlsx", "A 30872-2026")</f>
        <v/>
      </c>
      <c r="X12">
        <f>HYPERLINK("https://klasma.github.io/Logging_1482/kartor/A 30872-2026 karta.png", "A 30872-2026")</f>
        <v/>
      </c>
      <c r="Y12">
        <f>HYPERLINK("https://klasma.github.io/Logging_1482/kartor_geotiff/A 30872-2026 georefererad karta.tif", "A 30872-2026")</f>
        <v/>
      </c>
      <c r="AA12">
        <f>HYPERLINK("https://klasma.github.io/Logging_1482/klagomål/A 30872-2026 FSC-klagomål.docx", "A 30872-2026")</f>
        <v/>
      </c>
      <c r="AB12">
        <f>HYPERLINK("https://klasma.github.io/Logging_1482/klagomålsmail/A 30872-2026 FSC-klagomål mail.docx", "A 30872-2026")</f>
        <v/>
      </c>
      <c r="AC12">
        <f>HYPERLINK("https://klasma.github.io/Logging_1482/tillsyn/A 30872-2026 tillsynsbegäran.docx", "A 30872-2026")</f>
        <v/>
      </c>
      <c r="AD12">
        <f>HYPERLINK("https://klasma.github.io/Logging_1482/tillsynsmail/A 30872-2026 tillsynsbegäran mail.docx", "A 30872-2026")</f>
        <v/>
      </c>
      <c r="AE12">
        <f>HYPERLINK("https://klasma.github.io/Logging_1482/fåglar/A 30872-2026 prioriterade fågelarter.docx", "A 30872-2026")</f>
        <v/>
      </c>
    </row>
    <row r="13" ht="15" customHeight="1">
      <c r="A13" t="inlineStr">
        <is>
          <t>A 53008-2025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45957</v>
      </c>
      <c r="E13" s="1" t="n">
        <v>46320</v>
      </c>
      <c r="F13" t="inlineStr">
        <is>
          <t>VÄSTRA GÖTALANDS LÄN</t>
        </is>
      </c>
      <c r="G13" t="inlineStr">
        <is>
          <t>KUNGÄLV</t>
        </is>
      </c>
      <c r="I13" t="n">
        <v>2.9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6</v>
      </c>
      <c r="U13" t="n">
        <v>5</v>
      </c>
      <c r="V13" s="2" t="inlineStr">
        <is>
          <t>Kambräken
Västlig hakmossa
Spillkråka</t>
        </is>
      </c>
      <c r="W13">
        <f>HYPERLINK("https://klasma.github.io/Logging_1482/artfynd/A 53008-2025 artfynd.xlsx", "A 53008-2025")</f>
        <v/>
      </c>
      <c r="X13">
        <f>HYPERLINK("https://klasma.github.io/Logging_1482/kartor/A 53008-2025 karta.png", "A 53008-2025")</f>
        <v/>
      </c>
      <c r="Y13">
        <f>HYPERLINK("https://klasma.github.io/Logging_1482/kartor_geotiff/A 53008-2025 georefererad karta.tif", "A 53008-2025")</f>
        <v/>
      </c>
      <c r="AA13">
        <f>HYPERLINK("https://klasma.github.io/Logging_1482/klagomål/A 53008-2025 FSC-klagomål.docx", "A 53008-2025")</f>
        <v/>
      </c>
      <c r="AB13">
        <f>HYPERLINK("https://klasma.github.io/Logging_1482/klagomålsmail/A 53008-2025 FSC-klagomål mail.docx", "A 53008-2025")</f>
        <v/>
      </c>
      <c r="AC13">
        <f>HYPERLINK("https://klasma.github.io/Logging_1482/tillsyn/A 53008-2025 tillsynsbegäran.docx", "A 53008-2025")</f>
        <v/>
      </c>
      <c r="AD13">
        <f>HYPERLINK("https://klasma.github.io/Logging_1482/tillsynsmail/A 53008-2025 tillsynsbegäran mail.docx", "A 53008-2025")</f>
        <v/>
      </c>
      <c r="AE13">
        <f>HYPERLINK("https://klasma.github.io/Logging_1482/fåglar/A 53008-2025 prioriterade fågelarter.docx", "A 53008-2025")</f>
        <v/>
      </c>
    </row>
    <row r="14" ht="15" customHeight="1">
      <c r="A14" t="inlineStr">
        <is>
          <t>A 44113-2026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46318</v>
      </c>
      <c r="E14" s="1" t="n">
        <v>46320</v>
      </c>
      <c r="F14" t="inlineStr">
        <is>
          <t>VÄSTRA GÖTALANDS LÄN</t>
        </is>
      </c>
      <c r="G14" t="inlineStr">
        <is>
          <t>KUNGÄLV</t>
        </is>
      </c>
      <c r="I14" t="n">
        <v>5.4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3</v>
      </c>
      <c r="U14" t="n">
        <v>0</v>
      </c>
      <c r="V14" s="2" t="inlineStr">
        <is>
          <t>Naggbjörnbär
Revlummer
Äkta lopplummer</t>
        </is>
      </c>
      <c r="W14">
        <f>HYPERLINK("https://klasma.github.io/Logging_1482/artfynd/A 44113-2026 artfynd.xlsx", "A 44113-2026")</f>
        <v/>
      </c>
      <c r="X14">
        <f>HYPERLINK("https://klasma.github.io/Logging_1482/kartor/A 44113-2026 karta.png", "A 44113-2026")</f>
        <v/>
      </c>
      <c r="Y14">
        <f>HYPERLINK("https://klasma.github.io/Logging_1482/kartor_geotiff/A 44113-2026 georefererad karta.tif", "A 44113-2026")</f>
        <v/>
      </c>
      <c r="AA14">
        <f>HYPERLINK("https://klasma.github.io/Logging_1482/klagomål/A 44113-2026 FSC-klagomål.docx", "A 44113-2026")</f>
        <v/>
      </c>
      <c r="AB14">
        <f>HYPERLINK("https://klasma.github.io/Logging_1482/klagomålsmail/A 44113-2026 FSC-klagomål mail.docx", "A 44113-2026")</f>
        <v/>
      </c>
      <c r="AC14">
        <f>HYPERLINK("https://klasma.github.io/Logging_1482/tillsyn/A 44113-2026 tillsynsbegäran.docx", "A 44113-2026")</f>
        <v/>
      </c>
      <c r="AD14">
        <f>HYPERLINK("https://klasma.github.io/Logging_1482/tillsynsmail/A 44113-2026 tillsynsbegäran mail.docx", "A 44113-2026")</f>
        <v/>
      </c>
    </row>
    <row r="15" ht="15" customHeight="1">
      <c r="A15" t="inlineStr">
        <is>
          <t>A 56394-2025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45974</v>
      </c>
      <c r="E15" s="1" t="n">
        <v>46320</v>
      </c>
      <c r="F15" t="inlineStr">
        <is>
          <t>VÄSTRA GÖTALANDS LÄN</t>
        </is>
      </c>
      <c r="G15" t="inlineStr">
        <is>
          <t>KUNGÄLV</t>
        </is>
      </c>
      <c r="I15" t="n">
        <v>1.3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Kambräken
Revlummer</t>
        </is>
      </c>
      <c r="W15">
        <f>HYPERLINK("https://klasma.github.io/Logging_1482/artfynd/A 56394-2025 artfynd.xlsx", "A 56394-2025")</f>
        <v/>
      </c>
      <c r="X15">
        <f>HYPERLINK("https://klasma.github.io/Logging_1482/kartor/A 56394-2025 karta.png", "A 56394-2025")</f>
        <v/>
      </c>
      <c r="Y15">
        <f>HYPERLINK("https://klasma.github.io/Logging_1482/kartor_geotiff/A 56394-2025 georefererad karta.tif", "A 56394-2025")</f>
        <v/>
      </c>
      <c r="AA15">
        <f>HYPERLINK("https://klasma.github.io/Logging_1482/klagomål/A 56394-2025 FSC-klagomål.docx", "A 56394-2025")</f>
        <v/>
      </c>
      <c r="AB15">
        <f>HYPERLINK("https://klasma.github.io/Logging_1482/klagomålsmail/A 56394-2025 FSC-klagomål mail.docx", "A 56394-2025")</f>
        <v/>
      </c>
      <c r="AC15">
        <f>HYPERLINK("https://klasma.github.io/Logging_1482/tillsyn/A 56394-2025 tillsynsbegäran.docx", "A 56394-2025")</f>
        <v/>
      </c>
      <c r="AD15">
        <f>HYPERLINK("https://klasma.github.io/Logging_1482/tillsynsmail/A 56394-2025 tillsynsbegäran mail.docx", "A 56394-2025")</f>
        <v/>
      </c>
    </row>
    <row r="16" ht="15" customHeight="1">
      <c r="A16" t="inlineStr">
        <is>
          <t>A 30860-2026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46212</v>
      </c>
      <c r="E16" s="1" t="n">
        <v>46320</v>
      </c>
      <c r="F16" t="inlineStr">
        <is>
          <t>VÄSTRA GÖTALANDS LÄN</t>
        </is>
      </c>
      <c r="G16" t="inlineStr">
        <is>
          <t>KUNGÄLV</t>
        </is>
      </c>
      <c r="I16" t="n">
        <v>1.7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1</v>
      </c>
      <c r="V16" s="2" t="inlineStr">
        <is>
          <t>Grönsångare
Västlig hakmossa</t>
        </is>
      </c>
      <c r="W16">
        <f>HYPERLINK("https://klasma.github.io/Logging_1482/artfynd/A 30860-2026 artfynd.xlsx", "A 30860-2026")</f>
        <v/>
      </c>
      <c r="X16">
        <f>HYPERLINK("https://klasma.github.io/Logging_1482/kartor/A 30860-2026 karta.png", "A 30860-2026")</f>
        <v/>
      </c>
      <c r="Y16">
        <f>HYPERLINK("https://klasma.github.io/Logging_1482/kartor_geotiff/A 30860-2026 georefererad karta.tif", "A 30860-2026")</f>
        <v/>
      </c>
      <c r="AA16">
        <f>HYPERLINK("https://klasma.github.io/Logging_1482/klagomål/A 30860-2026 FSC-klagomål.docx", "A 30860-2026")</f>
        <v/>
      </c>
      <c r="AB16">
        <f>HYPERLINK("https://klasma.github.io/Logging_1482/klagomålsmail/A 30860-2026 FSC-klagomål mail.docx", "A 30860-2026")</f>
        <v/>
      </c>
      <c r="AC16">
        <f>HYPERLINK("https://klasma.github.io/Logging_1482/tillsyn/A 30860-2026 tillsynsbegäran.docx", "A 30860-2026")</f>
        <v/>
      </c>
      <c r="AD16">
        <f>HYPERLINK("https://klasma.github.io/Logging_1482/tillsynsmail/A 30860-2026 tillsynsbegäran mail.docx", "A 30860-2026")</f>
        <v/>
      </c>
      <c r="AE16">
        <f>HYPERLINK("https://klasma.github.io/Logging_1482/fåglar/A 30860-2026 prioriterade fågelarter.docx", "A 30860-2026")</f>
        <v/>
      </c>
    </row>
    <row r="17" ht="15" customHeight="1">
      <c r="A17" t="inlineStr">
        <is>
          <t>A 5631-2024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45334</v>
      </c>
      <c r="E17" s="1" t="n">
        <v>46320</v>
      </c>
      <c r="F17" t="inlineStr">
        <is>
          <t>VÄSTRA GÖTALANDS LÄN</t>
        </is>
      </c>
      <c r="G17" t="inlineStr">
        <is>
          <t>KUNGÄLV</t>
        </is>
      </c>
      <c r="I17" t="n">
        <v>1.3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1</v>
      </c>
      <c r="V17" s="2" t="inlineStr">
        <is>
          <t>Vanlig groda
Fläcknycklar</t>
        </is>
      </c>
      <c r="W17">
        <f>HYPERLINK("https://klasma.github.io/Logging_1482/artfynd/A 5631-2024 artfynd.xlsx", "A 5631-2024")</f>
        <v/>
      </c>
      <c r="X17">
        <f>HYPERLINK("https://klasma.github.io/Logging_1482/kartor/A 5631-2024 karta.png", "A 5631-2024")</f>
        <v/>
      </c>
      <c r="Y17">
        <f>HYPERLINK("https://klasma.github.io/Logging_1482/kartor_geotiff/A 5631-2024 georefererad karta.tif", "A 5631-2024")</f>
        <v/>
      </c>
      <c r="AA17">
        <f>HYPERLINK("https://klasma.github.io/Logging_1482/klagomål/A 5631-2024 FSC-klagomål.docx", "A 5631-2024")</f>
        <v/>
      </c>
      <c r="AB17">
        <f>HYPERLINK("https://klasma.github.io/Logging_1482/klagomålsmail/A 5631-2024 FSC-klagomål mail.docx", "A 5631-2024")</f>
        <v/>
      </c>
      <c r="AC17">
        <f>HYPERLINK("https://klasma.github.io/Logging_1482/tillsyn/A 5631-2024 tillsynsbegäran.docx", "A 5631-2024")</f>
        <v/>
      </c>
      <c r="AD17">
        <f>HYPERLINK("https://klasma.github.io/Logging_1482/tillsynsmail/A 5631-2024 tillsynsbegäran mail.docx", "A 5631-2024")</f>
        <v/>
      </c>
    </row>
    <row r="18" ht="15" customHeight="1">
      <c r="A18" t="inlineStr">
        <is>
          <t>A 5637-2024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45334</v>
      </c>
      <c r="E18" s="1" t="n">
        <v>46320</v>
      </c>
      <c r="F18" t="inlineStr">
        <is>
          <t>VÄSTRA GÖTALANDS LÄN</t>
        </is>
      </c>
      <c r="G18" t="inlineStr">
        <is>
          <t>KUNGÄLV</t>
        </is>
      </c>
      <c r="I18" t="n">
        <v>1.8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Klofibbla
Åkerrödtoppa</t>
        </is>
      </c>
      <c r="W18">
        <f>HYPERLINK("https://klasma.github.io/Logging_1482/artfynd/A 5637-2024 artfynd.xlsx", "A 5637-2024")</f>
        <v/>
      </c>
      <c r="X18">
        <f>HYPERLINK("https://klasma.github.io/Logging_1482/kartor/A 5637-2024 karta.png", "A 5637-2024")</f>
        <v/>
      </c>
      <c r="Y18">
        <f>HYPERLINK("https://klasma.github.io/Logging_1482/kartor_geotiff/A 5637-2024 georefererad karta.tif", "A 5637-2024")</f>
        <v/>
      </c>
      <c r="AA18">
        <f>HYPERLINK("https://klasma.github.io/Logging_1482/klagomål/A 5637-2024 FSC-klagomål.docx", "A 5637-2024")</f>
        <v/>
      </c>
      <c r="AB18">
        <f>HYPERLINK("https://klasma.github.io/Logging_1482/klagomålsmail/A 5637-2024 FSC-klagomål mail.docx", "A 5637-2024")</f>
        <v/>
      </c>
      <c r="AC18">
        <f>HYPERLINK("https://klasma.github.io/Logging_1482/tillsyn/A 5637-2024 tillsynsbegäran.docx", "A 5637-2024")</f>
        <v/>
      </c>
      <c r="AD18">
        <f>HYPERLINK("https://klasma.github.io/Logging_1482/tillsynsmail/A 5637-2024 tillsynsbegäran mail.docx", "A 5637-2024")</f>
        <v/>
      </c>
    </row>
    <row r="19" ht="15" customHeight="1">
      <c r="A19" t="inlineStr">
        <is>
          <t>A 57116-2025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45979</v>
      </c>
      <c r="E19" s="1" t="n">
        <v>46320</v>
      </c>
      <c r="F19" t="inlineStr">
        <is>
          <t>VÄSTRA GÖTALANDS LÄN</t>
        </is>
      </c>
      <c r="G19" t="inlineStr">
        <is>
          <t>KUNGÄLV</t>
        </is>
      </c>
      <c r="I19" t="n">
        <v>3.5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3</v>
      </c>
      <c r="U19" t="n">
        <v>3</v>
      </c>
      <c r="V19" s="2" t="inlineStr">
        <is>
          <t>Västlig hakmossa
Spillkråka</t>
        </is>
      </c>
      <c r="W19">
        <f>HYPERLINK("https://klasma.github.io/Logging_1482/artfynd/A 57116-2025 artfynd.xlsx", "A 57116-2025")</f>
        <v/>
      </c>
      <c r="X19">
        <f>HYPERLINK("https://klasma.github.io/Logging_1482/kartor/A 57116-2025 karta.png", "A 57116-2025")</f>
        <v/>
      </c>
      <c r="Y19">
        <f>HYPERLINK("https://klasma.github.io/Logging_1482/kartor_geotiff/A 57116-2025 georefererad karta.tif", "A 57116-2025")</f>
        <v/>
      </c>
      <c r="AA19">
        <f>HYPERLINK("https://klasma.github.io/Logging_1482/klagomål/A 57116-2025 FSC-klagomål.docx", "A 57116-2025")</f>
        <v/>
      </c>
      <c r="AB19">
        <f>HYPERLINK("https://klasma.github.io/Logging_1482/klagomålsmail/A 57116-2025 FSC-klagomål mail.docx", "A 57116-2025")</f>
        <v/>
      </c>
      <c r="AC19">
        <f>HYPERLINK("https://klasma.github.io/Logging_1482/tillsyn/A 57116-2025 tillsynsbegäran.docx", "A 57116-2025")</f>
        <v/>
      </c>
      <c r="AD19">
        <f>HYPERLINK("https://klasma.github.io/Logging_1482/tillsynsmail/A 57116-2025 tillsynsbegäran mail.docx", "A 57116-2025")</f>
        <v/>
      </c>
      <c r="AE19">
        <f>HYPERLINK("https://klasma.github.io/Logging_1482/fåglar/A 57116-2025 prioriterade fågelarter.docx", "A 57116-2025")</f>
        <v/>
      </c>
    </row>
    <row r="20" ht="15" customHeight="1">
      <c r="A20" t="inlineStr">
        <is>
          <t>A 53007-2025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45957</v>
      </c>
      <c r="E20" s="1" t="n">
        <v>46320</v>
      </c>
      <c r="F20" t="inlineStr">
        <is>
          <t>VÄSTRA GÖTALANDS LÄN</t>
        </is>
      </c>
      <c r="G20" t="inlineStr">
        <is>
          <t>KUNGÄLV</t>
        </is>
      </c>
      <c r="I20" t="n">
        <v>2.9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5</v>
      </c>
      <c r="U20" t="n">
        <v>5</v>
      </c>
      <c r="V20" s="2" t="inlineStr">
        <is>
          <t>Västlig hakmossa
Spillkråka</t>
        </is>
      </c>
      <c r="W20">
        <f>HYPERLINK("https://klasma.github.io/Logging_1482/artfynd/A 53007-2025 artfynd.xlsx", "A 53007-2025")</f>
        <v/>
      </c>
      <c r="X20">
        <f>HYPERLINK("https://klasma.github.io/Logging_1482/kartor/A 53007-2025 karta.png", "A 53007-2025")</f>
        <v/>
      </c>
      <c r="Y20">
        <f>HYPERLINK("https://klasma.github.io/Logging_1482/kartor_geotiff/A 53007-2025 georefererad karta.tif", "A 53007-2025")</f>
        <v/>
      </c>
      <c r="AA20">
        <f>HYPERLINK("https://klasma.github.io/Logging_1482/klagomål/A 53007-2025 FSC-klagomål.docx", "A 53007-2025")</f>
        <v/>
      </c>
      <c r="AB20">
        <f>HYPERLINK("https://klasma.github.io/Logging_1482/klagomålsmail/A 53007-2025 FSC-klagomål mail.docx", "A 53007-2025")</f>
        <v/>
      </c>
      <c r="AC20">
        <f>HYPERLINK("https://klasma.github.io/Logging_1482/tillsyn/A 53007-2025 tillsynsbegäran.docx", "A 53007-2025")</f>
        <v/>
      </c>
      <c r="AD20">
        <f>HYPERLINK("https://klasma.github.io/Logging_1482/tillsynsmail/A 53007-2025 tillsynsbegäran mail.docx", "A 53007-2025")</f>
        <v/>
      </c>
      <c r="AE20">
        <f>HYPERLINK("https://klasma.github.io/Logging_1482/fåglar/A 53007-2025 prioriterade fågelarter.docx", "A 53007-2025")</f>
        <v/>
      </c>
    </row>
    <row r="21" ht="15" customHeight="1">
      <c r="A21" t="inlineStr">
        <is>
          <t>A 44102-2026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46318</v>
      </c>
      <c r="E21" s="1" t="n">
        <v>46320</v>
      </c>
      <c r="F21" t="inlineStr">
        <is>
          <t>VÄSTRA GÖTALANDS LÄN</t>
        </is>
      </c>
      <c r="G21" t="inlineStr">
        <is>
          <t>KUNGÄLV</t>
        </is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Vanlig groda
Revlummer</t>
        </is>
      </c>
      <c r="W21">
        <f>HYPERLINK("https://klasma.github.io/Logging_1482/artfynd/A 44102-2026 artfynd.xlsx", "A 44102-2026")</f>
        <v/>
      </c>
      <c r="X21">
        <f>HYPERLINK("https://klasma.github.io/Logging_1482/kartor/A 44102-2026 karta.png", "A 44102-2026")</f>
        <v/>
      </c>
      <c r="Y21">
        <f>HYPERLINK("https://klasma.github.io/Logging_1482/kartor_geotiff/A 44102-2026 georefererad karta.tif", "A 44102-2026")</f>
        <v/>
      </c>
      <c r="AA21">
        <f>HYPERLINK("https://klasma.github.io/Logging_1482/klagomål/A 44102-2026 FSC-klagomål.docx", "A 44102-2026")</f>
        <v/>
      </c>
      <c r="AB21">
        <f>HYPERLINK("https://klasma.github.io/Logging_1482/klagomålsmail/A 44102-2026 FSC-klagomål mail.docx", "A 44102-2026")</f>
        <v/>
      </c>
      <c r="AC21">
        <f>HYPERLINK("https://klasma.github.io/Logging_1482/tillsyn/A 44102-2026 tillsynsbegäran.docx", "A 44102-2026")</f>
        <v/>
      </c>
      <c r="AD21">
        <f>HYPERLINK("https://klasma.github.io/Logging_1482/tillsynsmail/A 44102-2026 tillsynsbegäran mail.docx", "A 44102-2026")</f>
        <v/>
      </c>
    </row>
    <row r="22" ht="15" customHeight="1">
      <c r="A22" t="inlineStr">
        <is>
          <t>A 43847-2022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44838</v>
      </c>
      <c r="E22" s="1" t="n">
        <v>46320</v>
      </c>
      <c r="F22" t="inlineStr">
        <is>
          <t>VÄSTRA GÖTALANDS LÄN</t>
        </is>
      </c>
      <c r="G22" t="inlineStr">
        <is>
          <t>KUNGÄLV</t>
        </is>
      </c>
      <c r="I22" t="n">
        <v>0.6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Gråsiska</t>
        </is>
      </c>
      <c r="W22">
        <f>HYPERLINK("https://klasma.github.io/Logging_1482/artfynd/A 43847-2022 artfynd.xlsx", "A 43847-2022")</f>
        <v/>
      </c>
      <c r="X22">
        <f>HYPERLINK("https://klasma.github.io/Logging_1482/kartor/A 43847-2022 karta.png", "A 43847-2022")</f>
        <v/>
      </c>
      <c r="Y22">
        <f>HYPERLINK("https://klasma.github.io/Logging_1482/kartor_geotiff/A 43847-2022 georefererad karta.tif", "A 43847-2022")</f>
        <v/>
      </c>
      <c r="AA22">
        <f>HYPERLINK("https://klasma.github.io/Logging_1482/klagomål/A 43847-2022 FSC-klagomål.docx", "A 43847-2022")</f>
        <v/>
      </c>
      <c r="AB22">
        <f>HYPERLINK("https://klasma.github.io/Logging_1482/klagomålsmail/A 43847-2022 FSC-klagomål mail.docx", "A 43847-2022")</f>
        <v/>
      </c>
      <c r="AC22">
        <f>HYPERLINK("https://klasma.github.io/Logging_1482/tillsyn/A 43847-2022 tillsynsbegäran.docx", "A 43847-2022")</f>
        <v/>
      </c>
      <c r="AD22">
        <f>HYPERLINK("https://klasma.github.io/Logging_1482/tillsynsmail/A 43847-2022 tillsynsbegäran mail.docx", "A 43847-2022")</f>
        <v/>
      </c>
    </row>
    <row r="23" ht="15" customHeight="1">
      <c r="A23" t="inlineStr">
        <is>
          <t>A 49988-2023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45215</v>
      </c>
      <c r="E23" s="1" t="n">
        <v>46320</v>
      </c>
      <c r="F23" t="inlineStr">
        <is>
          <t>VÄSTRA GÖTALANDS LÄN</t>
        </is>
      </c>
      <c r="G23" t="inlineStr">
        <is>
          <t>KUNGÄLV</t>
        </is>
      </c>
      <c r="I23" t="n">
        <v>2.3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Revlummer</t>
        </is>
      </c>
      <c r="W23">
        <f>HYPERLINK("https://klasma.github.io/Logging_1482/artfynd/A 49988-2023 artfynd.xlsx", "A 49988-2023")</f>
        <v/>
      </c>
      <c r="X23">
        <f>HYPERLINK("https://klasma.github.io/Logging_1482/kartor/A 49988-2023 karta.png", "A 49988-2023")</f>
        <v/>
      </c>
      <c r="Y23">
        <f>HYPERLINK("https://klasma.github.io/Logging_1482/kartor_geotiff/A 49988-2023 georefererad karta.tif", "A 49988-2023")</f>
        <v/>
      </c>
      <c r="AA23">
        <f>HYPERLINK("https://klasma.github.io/Logging_1482/klagomål/A 49988-2023 FSC-klagomål.docx", "A 49988-2023")</f>
        <v/>
      </c>
      <c r="AB23">
        <f>HYPERLINK("https://klasma.github.io/Logging_1482/klagomålsmail/A 49988-2023 FSC-klagomål mail.docx", "A 49988-2023")</f>
        <v/>
      </c>
      <c r="AC23">
        <f>HYPERLINK("https://klasma.github.io/Logging_1482/tillsyn/A 49988-2023 tillsynsbegäran.docx", "A 49988-2023")</f>
        <v/>
      </c>
      <c r="AD23">
        <f>HYPERLINK("https://klasma.github.io/Logging_1482/tillsynsmail/A 49988-2023 tillsynsbegäran mail.docx", "A 49988-2023")</f>
        <v/>
      </c>
    </row>
    <row r="24" ht="15" customHeight="1">
      <c r="A24" t="inlineStr">
        <is>
          <t>A 21240-2023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45058</v>
      </c>
      <c r="E24" s="1" t="n">
        <v>46320</v>
      </c>
      <c r="F24" t="inlineStr">
        <is>
          <t>VÄSTRA GÖTALANDS LÄN</t>
        </is>
      </c>
      <c r="G24" t="inlineStr">
        <is>
          <t>KUNGÄLV</t>
        </is>
      </c>
      <c r="I24" t="n">
        <v>2.3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Kambräken</t>
        </is>
      </c>
      <c r="W24">
        <f>HYPERLINK("https://klasma.github.io/Logging_1482/artfynd/A 21240-2023 artfynd.xlsx", "A 21240-2023")</f>
        <v/>
      </c>
      <c r="X24">
        <f>HYPERLINK("https://klasma.github.io/Logging_1482/kartor/A 21240-2023 karta.png", "A 21240-2023")</f>
        <v/>
      </c>
      <c r="Y24">
        <f>HYPERLINK("https://klasma.github.io/Logging_1482/kartor_geotiff/A 21240-2023 georefererad karta.tif", "A 21240-2023")</f>
        <v/>
      </c>
      <c r="AA24">
        <f>HYPERLINK("https://klasma.github.io/Logging_1482/klagomål/A 21240-2023 FSC-klagomål.docx", "A 21240-2023")</f>
        <v/>
      </c>
      <c r="AB24">
        <f>HYPERLINK("https://klasma.github.io/Logging_1482/klagomålsmail/A 21240-2023 FSC-klagomål mail.docx", "A 21240-2023")</f>
        <v/>
      </c>
      <c r="AC24">
        <f>HYPERLINK("https://klasma.github.io/Logging_1482/tillsyn/A 21240-2023 tillsynsbegäran.docx", "A 21240-2023")</f>
        <v/>
      </c>
      <c r="AD24">
        <f>HYPERLINK("https://klasma.github.io/Logging_1482/tillsynsmail/A 21240-2023 tillsynsbegäran mail.docx", "A 21240-2023")</f>
        <v/>
      </c>
    </row>
    <row r="25" ht="15" customHeight="1">
      <c r="A25" t="inlineStr">
        <is>
          <t>A 30862-2026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46212</v>
      </c>
      <c r="E25" s="1" t="n">
        <v>46320</v>
      </c>
      <c r="F25" t="inlineStr">
        <is>
          <t>VÄSTRA GÖTALANDS LÄN</t>
        </is>
      </c>
      <c r="G25" t="inlineStr">
        <is>
          <t>KUNGÄLV</t>
        </is>
      </c>
      <c r="I25" t="n">
        <v>1.7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4</v>
      </c>
      <c r="U25" t="n">
        <v>0</v>
      </c>
      <c r="V25" s="2" t="inlineStr">
        <is>
          <t>Grönvit nattviol</t>
        </is>
      </c>
      <c r="W25">
        <f>HYPERLINK("https://klasma.github.io/Logging_1482/artfynd/A 30862-2026 artfynd.xlsx", "A 30862-2026")</f>
        <v/>
      </c>
      <c r="X25">
        <f>HYPERLINK("https://klasma.github.io/Logging_1482/kartor/A 30862-2026 karta.png", "A 30862-2026")</f>
        <v/>
      </c>
      <c r="Y25">
        <f>HYPERLINK("https://klasma.github.io/Logging_1482/kartor_geotiff/A 30862-2026 georefererad karta.tif", "A 30862-2026")</f>
        <v/>
      </c>
      <c r="AA25">
        <f>HYPERLINK("https://klasma.github.io/Logging_1482/klagomål/A 30862-2026 FSC-klagomål.docx", "A 30862-2026")</f>
        <v/>
      </c>
      <c r="AB25">
        <f>HYPERLINK("https://klasma.github.io/Logging_1482/klagomålsmail/A 30862-2026 FSC-klagomål mail.docx", "A 30862-2026")</f>
        <v/>
      </c>
      <c r="AC25">
        <f>HYPERLINK("https://klasma.github.io/Logging_1482/tillsyn/A 30862-2026 tillsynsbegäran.docx", "A 30862-2026")</f>
        <v/>
      </c>
      <c r="AD25">
        <f>HYPERLINK("https://klasma.github.io/Logging_1482/tillsynsmail/A 30862-2026 tillsynsbegäran mail.docx", "A 30862-2026")</f>
        <v/>
      </c>
    </row>
    <row r="26" ht="15" customHeight="1">
      <c r="A26" t="inlineStr">
        <is>
          <t>A 23704-2024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45454</v>
      </c>
      <c r="E26" s="1" t="n">
        <v>46320</v>
      </c>
      <c r="F26" t="inlineStr">
        <is>
          <t>VÄSTRA GÖTALANDS LÄN</t>
        </is>
      </c>
      <c r="G26" t="inlineStr">
        <is>
          <t>KUNGÄLV</t>
        </is>
      </c>
      <c r="I26" t="n">
        <v>4.9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2</v>
      </c>
      <c r="U26" t="n">
        <v>1</v>
      </c>
      <c r="V26" s="2" t="inlineStr">
        <is>
          <t>Hedjohannesört</t>
        </is>
      </c>
      <c r="W26">
        <f>HYPERLINK("https://klasma.github.io/Logging_1482/artfynd/A 23704-2024 artfynd.xlsx", "A 23704-2024")</f>
        <v/>
      </c>
      <c r="X26">
        <f>HYPERLINK("https://klasma.github.io/Logging_1482/kartor/A 23704-2024 karta.png", "A 23704-2024")</f>
        <v/>
      </c>
      <c r="Y26">
        <f>HYPERLINK("https://klasma.github.io/Logging_1482/kartor_geotiff/A 23704-2024 georefererad karta.tif", "A 23704-2024")</f>
        <v/>
      </c>
      <c r="AA26">
        <f>HYPERLINK("https://klasma.github.io/Logging_1482/klagomål/A 23704-2024 FSC-klagomål.docx", "A 23704-2024")</f>
        <v/>
      </c>
      <c r="AB26">
        <f>HYPERLINK("https://klasma.github.io/Logging_1482/klagomålsmail/A 23704-2024 FSC-klagomål mail.docx", "A 23704-2024")</f>
        <v/>
      </c>
      <c r="AC26">
        <f>HYPERLINK("https://klasma.github.io/Logging_1482/tillsyn/A 23704-2024 tillsynsbegäran.docx", "A 23704-2024")</f>
        <v/>
      </c>
      <c r="AD26">
        <f>HYPERLINK("https://klasma.github.io/Logging_1482/tillsynsmail/A 23704-2024 tillsynsbegäran mail.docx", "A 23704-2024")</f>
        <v/>
      </c>
    </row>
    <row r="27" ht="15" customHeight="1">
      <c r="A27" t="inlineStr">
        <is>
          <t>A 6082-2025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45697</v>
      </c>
      <c r="E27" s="1" t="n">
        <v>46320</v>
      </c>
      <c r="F27" t="inlineStr">
        <is>
          <t>VÄSTRA GÖTALANDS LÄN</t>
        </is>
      </c>
      <c r="G27" t="inlineStr">
        <is>
          <t>KUNGÄLV</t>
        </is>
      </c>
      <c r="I27" t="n">
        <v>2.8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Spillkråka</t>
        </is>
      </c>
      <c r="W27">
        <f>HYPERLINK("https://klasma.github.io/Logging_1482/artfynd/A 6082-2025 artfynd.xlsx", "A 6082-2025")</f>
        <v/>
      </c>
      <c r="X27">
        <f>HYPERLINK("https://klasma.github.io/Logging_1482/kartor/A 6082-2025 karta.png", "A 6082-2025")</f>
        <v/>
      </c>
      <c r="Y27">
        <f>HYPERLINK("https://klasma.github.io/Logging_1482/kartor_geotiff/A 6082-2025 georefererad karta.tif", "A 6082-2025")</f>
        <v/>
      </c>
      <c r="AA27">
        <f>HYPERLINK("https://klasma.github.io/Logging_1482/klagomål/A 6082-2025 FSC-klagomål.docx", "A 6082-2025")</f>
        <v/>
      </c>
      <c r="AB27">
        <f>HYPERLINK("https://klasma.github.io/Logging_1482/klagomålsmail/A 6082-2025 FSC-klagomål mail.docx", "A 6082-2025")</f>
        <v/>
      </c>
      <c r="AC27">
        <f>HYPERLINK("https://klasma.github.io/Logging_1482/tillsyn/A 6082-2025 tillsynsbegäran.docx", "A 6082-2025")</f>
        <v/>
      </c>
      <c r="AD27">
        <f>HYPERLINK("https://klasma.github.io/Logging_1482/tillsynsmail/A 6082-2025 tillsynsbegäran mail.docx", "A 6082-2025")</f>
        <v/>
      </c>
      <c r="AE27">
        <f>HYPERLINK("https://klasma.github.io/Logging_1482/fåglar/A 6082-2025 prioriterade fågelarter.docx", "A 6082-2025")</f>
        <v/>
      </c>
    </row>
    <row r="28" ht="15" customHeight="1">
      <c r="A28" t="inlineStr">
        <is>
          <t>A 44106-2026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46318</v>
      </c>
      <c r="E28" s="1" t="n">
        <v>46320</v>
      </c>
      <c r="F28" t="inlineStr">
        <is>
          <t>VÄSTRA GÖTALANDS LÄN</t>
        </is>
      </c>
      <c r="G28" t="inlineStr">
        <is>
          <t>KUNGÄLV</t>
        </is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Naggbjörnbär</t>
        </is>
      </c>
      <c r="W28">
        <f>HYPERLINK("https://klasma.github.io/Logging_1482/artfynd/A 44106-2026 artfynd.xlsx", "A 44106-2026")</f>
        <v/>
      </c>
      <c r="X28">
        <f>HYPERLINK("https://klasma.github.io/Logging_1482/kartor/A 44106-2026 karta.png", "A 44106-2026")</f>
        <v/>
      </c>
      <c r="Y28">
        <f>HYPERLINK("https://klasma.github.io/Logging_1482/kartor_geotiff/A 44106-2026 georefererad karta.tif", "A 44106-2026")</f>
        <v/>
      </c>
      <c r="AA28">
        <f>HYPERLINK("https://klasma.github.io/Logging_1482/klagomål/A 44106-2026 FSC-klagomål.docx", "A 44106-2026")</f>
        <v/>
      </c>
      <c r="AB28">
        <f>HYPERLINK("https://klasma.github.io/Logging_1482/klagomålsmail/A 44106-2026 FSC-klagomål mail.docx", "A 44106-2026")</f>
        <v/>
      </c>
      <c r="AC28">
        <f>HYPERLINK("https://klasma.github.io/Logging_1482/tillsyn/A 44106-2026 tillsynsbegäran.docx", "A 44106-2026")</f>
        <v/>
      </c>
      <c r="AD28">
        <f>HYPERLINK("https://klasma.github.io/Logging_1482/tillsynsmail/A 44106-2026 tillsynsbegäran mail.docx", "A 44106-2026")</f>
        <v/>
      </c>
    </row>
    <row r="29" ht="15" customHeight="1">
      <c r="A29" t="inlineStr">
        <is>
          <t>A 42407-2026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46307</v>
      </c>
      <c r="E29" s="1" t="n">
        <v>46320</v>
      </c>
      <c r="F29" t="inlineStr">
        <is>
          <t>VÄSTRA GÖTALANDS LÄN</t>
        </is>
      </c>
      <c r="G29" t="inlineStr">
        <is>
          <t>KUNGÄLV</t>
        </is>
      </c>
      <c r="I29" t="n">
        <v>1.7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Dunmossa</t>
        </is>
      </c>
      <c r="W29">
        <f>HYPERLINK("https://klasma.github.io/Logging_1482/artfynd/A 42407-2026 artfynd.xlsx", "A 42407-2026")</f>
        <v/>
      </c>
      <c r="X29">
        <f>HYPERLINK("https://klasma.github.io/Logging_1482/kartor/A 42407-2026 karta.png", "A 42407-2026")</f>
        <v/>
      </c>
      <c r="Y29">
        <f>HYPERLINK("https://klasma.github.io/Logging_1482/kartor_geotiff/A 42407-2026 georefererad karta.tif", "A 42407-2026")</f>
        <v/>
      </c>
      <c r="AA29">
        <f>HYPERLINK("https://klasma.github.io/Logging_1482/klagomål/A 42407-2026 FSC-klagomål.docx", "A 42407-2026")</f>
        <v/>
      </c>
      <c r="AB29">
        <f>HYPERLINK("https://klasma.github.io/Logging_1482/klagomålsmail/A 42407-2026 FSC-klagomål mail.docx", "A 42407-2026")</f>
        <v/>
      </c>
      <c r="AC29">
        <f>HYPERLINK("https://klasma.github.io/Logging_1482/tillsyn/A 42407-2026 tillsynsbegäran.docx", "A 42407-2026")</f>
        <v/>
      </c>
      <c r="AD29">
        <f>HYPERLINK("https://klasma.github.io/Logging_1482/tillsynsmail/A 42407-2026 tillsynsbegäran mail.docx", "A 42407-2026")</f>
        <v/>
      </c>
    </row>
    <row r="30" ht="15" customHeight="1">
      <c r="A30" t="inlineStr">
        <is>
          <t>A 19132-2022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44691</v>
      </c>
      <c r="E30" s="1" t="n">
        <v>46320</v>
      </c>
      <c r="F30" t="inlineStr">
        <is>
          <t>VÄSTRA GÖTALANDS LÄN</t>
        </is>
      </c>
      <c r="G30" t="inlineStr">
        <is>
          <t>KUNGÄLV</t>
        </is>
      </c>
      <c r="I30" t="n">
        <v>1.3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19133-2022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44691</v>
      </c>
      <c r="E31" s="1" t="n">
        <v>46320</v>
      </c>
      <c r="F31" t="inlineStr">
        <is>
          <t>VÄSTRA GÖTALANDS LÄN</t>
        </is>
      </c>
      <c r="G31" t="inlineStr">
        <is>
          <t>KUNGÄLV</t>
        </is>
      </c>
      <c r="I31" t="n">
        <v>1.3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43709-2022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44836</v>
      </c>
      <c r="E32" s="1" t="n">
        <v>46320</v>
      </c>
      <c r="F32" t="inlineStr">
        <is>
          <t>VÄSTRA GÖTALANDS LÄN</t>
        </is>
      </c>
      <c r="G32" t="inlineStr">
        <is>
          <t>KUNGÄLV</t>
        </is>
      </c>
      <c r="I32" t="n">
        <v>3.5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30322-2022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44760</v>
      </c>
      <c r="E33" s="1" t="n">
        <v>46320</v>
      </c>
      <c r="F33" t="inlineStr">
        <is>
          <t>VÄSTRA GÖTALANDS LÄN</t>
        </is>
      </c>
      <c r="G33" t="inlineStr">
        <is>
          <t>KUNGÄLV</t>
        </is>
      </c>
      <c r="I33" t="n">
        <v>1.9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30373-2022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44760</v>
      </c>
      <c r="E34" s="1" t="n">
        <v>46320</v>
      </c>
      <c r="F34" t="inlineStr">
        <is>
          <t>VÄSTRA GÖTALANDS LÄN</t>
        </is>
      </c>
      <c r="G34" t="inlineStr">
        <is>
          <t>KUNGÄLV</t>
        </is>
      </c>
      <c r="I34" t="n">
        <v>0.8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30377-2022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44760</v>
      </c>
      <c r="E35" s="1" t="n">
        <v>46320</v>
      </c>
      <c r="F35" t="inlineStr">
        <is>
          <t>VÄSTRA GÖTALANDS LÄN</t>
        </is>
      </c>
      <c r="G35" t="inlineStr">
        <is>
          <t>KUNGÄLV</t>
        </is>
      </c>
      <c r="I35" t="n">
        <v>0.6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62221-2023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45267</v>
      </c>
      <c r="E36" s="1" t="n">
        <v>46320</v>
      </c>
      <c r="F36" t="inlineStr">
        <is>
          <t>VÄSTRA GÖTALANDS LÄN</t>
        </is>
      </c>
      <c r="G36" t="inlineStr">
        <is>
          <t>KUNGÄLV</t>
        </is>
      </c>
      <c r="I36" t="n">
        <v>1.3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4204-2024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45324</v>
      </c>
      <c r="E37" s="1" t="n">
        <v>46320</v>
      </c>
      <c r="F37" t="inlineStr">
        <is>
          <t>VÄSTRA GÖTALANDS LÄN</t>
        </is>
      </c>
      <c r="G37" t="inlineStr">
        <is>
          <t>KUNGÄLV</t>
        </is>
      </c>
      <c r="I37" t="n">
        <v>4.4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30170-2022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44757</v>
      </c>
      <c r="E38" s="1" t="n">
        <v>46320</v>
      </c>
      <c r="F38" t="inlineStr">
        <is>
          <t>VÄSTRA GÖTALANDS LÄN</t>
        </is>
      </c>
      <c r="G38" t="inlineStr">
        <is>
          <t>KUNGÄLV</t>
        </is>
      </c>
      <c r="I38" t="n">
        <v>3.1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17922-2025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45758</v>
      </c>
      <c r="E39" s="1" t="n">
        <v>46320</v>
      </c>
      <c r="F39" t="inlineStr">
        <is>
          <t>VÄSTRA GÖTALANDS LÄN</t>
        </is>
      </c>
      <c r="G39" t="inlineStr">
        <is>
          <t>KUNGÄLV</t>
        </is>
      </c>
      <c r="I39" t="n">
        <v>0.8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56782-2022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44894</v>
      </c>
      <c r="E40" s="1" t="n">
        <v>46320</v>
      </c>
      <c r="F40" t="inlineStr">
        <is>
          <t>VÄSTRA GÖTALANDS LÄN</t>
        </is>
      </c>
      <c r="G40" t="inlineStr">
        <is>
          <t>KUNGÄLV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40951-2025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45897</v>
      </c>
      <c r="E41" s="1" t="n">
        <v>46320</v>
      </c>
      <c r="F41" t="inlineStr">
        <is>
          <t>VÄSTRA GÖTALANDS LÄN</t>
        </is>
      </c>
      <c r="G41" t="inlineStr">
        <is>
          <t>KUNGÄLV</t>
        </is>
      </c>
      <c r="I41" t="n">
        <v>0.8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23607-2026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46163</v>
      </c>
      <c r="E42" s="1" t="n">
        <v>46320</v>
      </c>
      <c r="F42" t="inlineStr">
        <is>
          <t>VÄSTRA GÖTALANDS LÄN</t>
        </is>
      </c>
      <c r="G42" t="inlineStr">
        <is>
          <t>KUNGÄLV</t>
        </is>
      </c>
      <c r="I42" t="n">
        <v>5.3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45124-2025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45919</v>
      </c>
      <c r="E43" s="1" t="n">
        <v>46320</v>
      </c>
      <c r="F43" t="inlineStr">
        <is>
          <t>VÄSTRA GÖTALANDS LÄN</t>
        </is>
      </c>
      <c r="G43" t="inlineStr">
        <is>
          <t>KUNGÄLV</t>
        </is>
      </c>
      <c r="I43" t="n">
        <v>3.7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26812-2024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45470</v>
      </c>
      <c r="E44" s="1" t="n">
        <v>46320</v>
      </c>
      <c r="F44" t="inlineStr">
        <is>
          <t>VÄSTRA GÖTALANDS LÄN</t>
        </is>
      </c>
      <c r="G44" t="inlineStr">
        <is>
          <t>KUNGÄLV</t>
        </is>
      </c>
      <c r="I44" t="n">
        <v>1.7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25135-2025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45798</v>
      </c>
      <c r="E45" s="1" t="n">
        <v>46320</v>
      </c>
      <c r="F45" t="inlineStr">
        <is>
          <t>VÄSTRA GÖTALANDS LÄN</t>
        </is>
      </c>
      <c r="G45" t="inlineStr">
        <is>
          <t>KUNGÄLV</t>
        </is>
      </c>
      <c r="I45" t="n">
        <v>1.1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47564-2025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45931</v>
      </c>
      <c r="E46" s="1" t="n">
        <v>46320</v>
      </c>
      <c r="F46" t="inlineStr">
        <is>
          <t>VÄSTRA GÖTALANDS LÄN</t>
        </is>
      </c>
      <c r="G46" t="inlineStr">
        <is>
          <t>KUNGÄLV</t>
        </is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13880-2024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45391</v>
      </c>
      <c r="E47" s="1" t="n">
        <v>46320</v>
      </c>
      <c r="F47" t="inlineStr">
        <is>
          <t>VÄSTRA GÖTALANDS LÄN</t>
        </is>
      </c>
      <c r="G47" t="inlineStr">
        <is>
          <t>KUNGÄLV</t>
        </is>
      </c>
      <c r="I47" t="n">
        <v>2.4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1995-2024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45308</v>
      </c>
      <c r="E48" s="1" t="n">
        <v>46320</v>
      </c>
      <c r="F48" t="inlineStr">
        <is>
          <t>VÄSTRA GÖTALANDS LÄN</t>
        </is>
      </c>
      <c r="G48" t="inlineStr">
        <is>
          <t>KUNGÄLV</t>
        </is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45990-2022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44846</v>
      </c>
      <c r="E49" s="1" t="n">
        <v>46320</v>
      </c>
      <c r="F49" t="inlineStr">
        <is>
          <t>VÄSTRA GÖTALANDS LÄN</t>
        </is>
      </c>
      <c r="G49" t="inlineStr">
        <is>
          <t>KUNGÄLV</t>
        </is>
      </c>
      <c r="I49" t="n">
        <v>3.3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52932-2025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45957</v>
      </c>
      <c r="E50" s="1" t="n">
        <v>46320</v>
      </c>
      <c r="F50" t="inlineStr">
        <is>
          <t>VÄSTRA GÖTALANDS LÄN</t>
        </is>
      </c>
      <c r="G50" t="inlineStr">
        <is>
          <t>KUNGÄLV</t>
        </is>
      </c>
      <c r="I50" t="n">
        <v>3.4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10810-2023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44989</v>
      </c>
      <c r="E51" s="1" t="n">
        <v>46320</v>
      </c>
      <c r="F51" t="inlineStr">
        <is>
          <t>VÄSTRA GÖTALANDS LÄN</t>
        </is>
      </c>
      <c r="G51" t="inlineStr">
        <is>
          <t>KUNGÄLV</t>
        </is>
      </c>
      <c r="I51" t="n">
        <v>0.4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62128-2021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44502</v>
      </c>
      <c r="E52" s="1" t="n">
        <v>46320</v>
      </c>
      <c r="F52" t="inlineStr">
        <is>
          <t>VÄSTRA GÖTALANDS LÄN</t>
        </is>
      </c>
      <c r="G52" t="inlineStr">
        <is>
          <t>KUNGÄLV</t>
        </is>
      </c>
      <c r="I52" t="n">
        <v>1.8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18851-2024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45426</v>
      </c>
      <c r="E53" s="1" t="n">
        <v>46320</v>
      </c>
      <c r="F53" t="inlineStr">
        <is>
          <t>VÄSTRA GÖTALANDS LÄN</t>
        </is>
      </c>
      <c r="G53" t="inlineStr">
        <is>
          <t>KUNGÄLV</t>
        </is>
      </c>
      <c r="I53" t="n">
        <v>2.7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21389-2023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45063</v>
      </c>
      <c r="E54" s="1" t="n">
        <v>46320</v>
      </c>
      <c r="F54" t="inlineStr">
        <is>
          <t>VÄSTRA GÖTALANDS LÄN</t>
        </is>
      </c>
      <c r="G54" t="inlineStr">
        <is>
          <t>KUNGÄLV</t>
        </is>
      </c>
      <c r="I54" t="n">
        <v>3.4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44176-2023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45188</v>
      </c>
      <c r="E55" s="1" t="n">
        <v>46320</v>
      </c>
      <c r="F55" t="inlineStr">
        <is>
          <t>VÄSTRA GÖTALANDS LÄN</t>
        </is>
      </c>
      <c r="G55" t="inlineStr">
        <is>
          <t>KUNGÄLV</t>
        </is>
      </c>
      <c r="I55" t="n">
        <v>7.1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29952-2026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46205</v>
      </c>
      <c r="E56" s="1" t="n">
        <v>46320</v>
      </c>
      <c r="F56" t="inlineStr">
        <is>
          <t>VÄSTRA GÖTALANDS LÄN</t>
        </is>
      </c>
      <c r="G56" t="inlineStr">
        <is>
          <t>KUNGÄLV</t>
        </is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23457-2024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45453</v>
      </c>
      <c r="E57" s="1" t="n">
        <v>46320</v>
      </c>
      <c r="F57" t="inlineStr">
        <is>
          <t>VÄSTRA GÖTALANDS LÄN</t>
        </is>
      </c>
      <c r="G57" t="inlineStr">
        <is>
          <t>KUNGÄLV</t>
        </is>
      </c>
      <c r="I57" t="n">
        <v>5.1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39714-2024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45552</v>
      </c>
      <c r="E58" s="1" t="n">
        <v>46320</v>
      </c>
      <c r="F58" t="inlineStr">
        <is>
          <t>VÄSTRA GÖTALANDS LÄN</t>
        </is>
      </c>
      <c r="G58" t="inlineStr">
        <is>
          <t>KUNGÄLV</t>
        </is>
      </c>
      <c r="I58" t="n">
        <v>1.2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18852-2024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45426</v>
      </c>
      <c r="E59" s="1" t="n">
        <v>46320</v>
      </c>
      <c r="F59" t="inlineStr">
        <is>
          <t>VÄSTRA GÖTALANDS LÄN</t>
        </is>
      </c>
      <c r="G59" t="inlineStr">
        <is>
          <t>KUNGÄLV</t>
        </is>
      </c>
      <c r="I59" t="n">
        <v>2.7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30738-2026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46211</v>
      </c>
      <c r="E60" s="1" t="n">
        <v>46320</v>
      </c>
      <c r="F60" t="inlineStr">
        <is>
          <t>VÄSTRA GÖTALANDS LÄN</t>
        </is>
      </c>
      <c r="G60" t="inlineStr">
        <is>
          <t>KUNGÄLV</t>
        </is>
      </c>
      <c r="I60" t="n">
        <v>3.5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30859-2026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46212</v>
      </c>
      <c r="E61" s="1" t="n">
        <v>46320</v>
      </c>
      <c r="F61" t="inlineStr">
        <is>
          <t>VÄSTRA GÖTALANDS LÄN</t>
        </is>
      </c>
      <c r="G61" t="inlineStr">
        <is>
          <t>KUNGÄLV</t>
        </is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51724-2023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45222</v>
      </c>
      <c r="E62" s="1" t="n">
        <v>46320</v>
      </c>
      <c r="F62" t="inlineStr">
        <is>
          <t>VÄSTRA GÖTALANDS LÄN</t>
        </is>
      </c>
      <c r="G62" t="inlineStr">
        <is>
          <t>KUNGÄLV</t>
        </is>
      </c>
      <c r="I62" t="n">
        <v>3.1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38262-2026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46281</v>
      </c>
      <c r="E63" s="1" t="n">
        <v>46320</v>
      </c>
      <c r="F63" t="inlineStr">
        <is>
          <t>VÄSTRA GÖTALANDS LÄN</t>
        </is>
      </c>
      <c r="G63" t="inlineStr">
        <is>
          <t>KUNGÄLV</t>
        </is>
      </c>
      <c r="I63" t="n">
        <v>2.8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10679-2025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45721</v>
      </c>
      <c r="E64" s="1" t="n">
        <v>46320</v>
      </c>
      <c r="F64" t="inlineStr">
        <is>
          <t>VÄSTRA GÖTALANDS LÄN</t>
        </is>
      </c>
      <c r="G64" t="inlineStr">
        <is>
          <t>KUNGÄLV</t>
        </is>
      </c>
      <c r="I64" t="n">
        <v>4.4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11237-2025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45726</v>
      </c>
      <c r="E65" s="1" t="n">
        <v>46320</v>
      </c>
      <c r="F65" t="inlineStr">
        <is>
          <t>VÄSTRA GÖTALANDS LÄN</t>
        </is>
      </c>
      <c r="G65" t="inlineStr">
        <is>
          <t>KUNGÄLV</t>
        </is>
      </c>
      <c r="I65" t="n">
        <v>4.2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10677-2025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45721</v>
      </c>
      <c r="E66" s="1" t="n">
        <v>46320</v>
      </c>
      <c r="F66" t="inlineStr">
        <is>
          <t>VÄSTRA GÖTALANDS LÄN</t>
        </is>
      </c>
      <c r="G66" t="inlineStr">
        <is>
          <t>KUNGÄLV</t>
        </is>
      </c>
      <c r="I66" t="n">
        <v>7.4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74285-2021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44558</v>
      </c>
      <c r="E67" s="1" t="n">
        <v>46320</v>
      </c>
      <c r="F67" t="inlineStr">
        <is>
          <t>VÄSTRA GÖTALANDS LÄN</t>
        </is>
      </c>
      <c r="G67" t="inlineStr">
        <is>
          <t>KUNGÄLV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34366-2022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44792</v>
      </c>
      <c r="E68" s="1" t="n">
        <v>46320</v>
      </c>
      <c r="F68" t="inlineStr">
        <is>
          <t>VÄSTRA GÖTALANDS LÄN</t>
        </is>
      </c>
      <c r="G68" t="inlineStr">
        <is>
          <t>KUNGÄLV</t>
        </is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4673-2026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46048</v>
      </c>
      <c r="E69" s="1" t="n">
        <v>46320</v>
      </c>
      <c r="F69" t="inlineStr">
        <is>
          <t>VÄSTRA GÖTALANDS LÄN</t>
        </is>
      </c>
      <c r="G69" t="inlineStr">
        <is>
          <t>KUNGÄLV</t>
        </is>
      </c>
      <c r="I69" t="n">
        <v>8.199999999999999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6946-2026</t>
        </is>
      </c>
      <c r="B70" t="inlineStr">
        <is>
          <t>avverkningsanmälan</t>
        </is>
      </c>
      <c r="C70" t="inlineStr">
        <is>
          <t>Avverkning för annat ändamål</t>
        </is>
      </c>
      <c r="D70" s="1" t="n">
        <v>46057</v>
      </c>
      <c r="E70" s="1" t="n">
        <v>46320</v>
      </c>
      <c r="F70" t="inlineStr">
        <is>
          <t>VÄSTRA GÖTALANDS LÄN</t>
        </is>
      </c>
      <c r="G70" t="inlineStr">
        <is>
          <t>KUNGÄLV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61417-2022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44916</v>
      </c>
      <c r="E71" s="1" t="n">
        <v>46320</v>
      </c>
      <c r="F71" t="inlineStr">
        <is>
          <t>VÄSTRA GÖTALANDS LÄN</t>
        </is>
      </c>
      <c r="G71" t="inlineStr">
        <is>
          <t>KUNGÄLV</t>
        </is>
      </c>
      <c r="I71" t="n">
        <v>3.6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32272-2023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45120</v>
      </c>
      <c r="E72" s="1" t="n">
        <v>46320</v>
      </c>
      <c r="F72" t="inlineStr">
        <is>
          <t>VÄSTRA GÖTALANDS LÄN</t>
        </is>
      </c>
      <c r="G72" t="inlineStr">
        <is>
          <t>KUNGÄLV</t>
        </is>
      </c>
      <c r="I72" t="n">
        <v>4.9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32847-2023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45124</v>
      </c>
      <c r="E73" s="1" t="n">
        <v>46320</v>
      </c>
      <c r="F73" t="inlineStr">
        <is>
          <t>VÄSTRA GÖTALANDS LÄN</t>
        </is>
      </c>
      <c r="G73" t="inlineStr">
        <is>
          <t>KUNGÄLV</t>
        </is>
      </c>
      <c r="I73" t="n">
        <v>4.7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37443-2025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45877</v>
      </c>
      <c r="E74" s="1" t="n">
        <v>46320</v>
      </c>
      <c r="F74" t="inlineStr">
        <is>
          <t>VÄSTRA GÖTALANDS LÄN</t>
        </is>
      </c>
      <c r="G74" t="inlineStr">
        <is>
          <t>KUNGÄLV</t>
        </is>
      </c>
      <c r="H74" t="inlineStr">
        <is>
          <t>Kyrkan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34387-2026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46254</v>
      </c>
      <c r="E75" s="1" t="n">
        <v>46320</v>
      </c>
      <c r="F75" t="inlineStr">
        <is>
          <t>VÄSTRA GÖTALANDS LÄN</t>
        </is>
      </c>
      <c r="G75" t="inlineStr">
        <is>
          <t>KUNGÄLV</t>
        </is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34386-2026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46254</v>
      </c>
      <c r="E76" s="1" t="n">
        <v>46320</v>
      </c>
      <c r="F76" t="inlineStr">
        <is>
          <t>VÄSTRA GÖTALANDS LÄN</t>
        </is>
      </c>
      <c r="G76" t="inlineStr">
        <is>
          <t>KUNGÄLV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34392-2026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46254</v>
      </c>
      <c r="E77" s="1" t="n">
        <v>46320</v>
      </c>
      <c r="F77" t="inlineStr">
        <is>
          <t>VÄSTRA GÖTALANDS LÄN</t>
        </is>
      </c>
      <c r="G77" t="inlineStr">
        <is>
          <t>KUNGÄLV</t>
        </is>
      </c>
      <c r="I77" t="n">
        <v>0.4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34396-2026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46254</v>
      </c>
      <c r="E78" s="1" t="n">
        <v>46320</v>
      </c>
      <c r="F78" t="inlineStr">
        <is>
          <t>VÄSTRA GÖTALANDS LÄN</t>
        </is>
      </c>
      <c r="G78" t="inlineStr">
        <is>
          <t>KUNGÄLV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13990-2026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46098</v>
      </c>
      <c r="E79" s="1" t="n">
        <v>46320</v>
      </c>
      <c r="F79" t="inlineStr">
        <is>
          <t>VÄSTRA GÖTALANDS LÄN</t>
        </is>
      </c>
      <c r="G79" t="inlineStr">
        <is>
          <t>KUNGÄLV</t>
        </is>
      </c>
      <c r="I79" t="n">
        <v>2.6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41656-2026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46302</v>
      </c>
      <c r="E80" s="1" t="n">
        <v>46320</v>
      </c>
      <c r="F80" t="inlineStr">
        <is>
          <t>VÄSTRA GÖTALANDS LÄN</t>
        </is>
      </c>
      <c r="G80" t="inlineStr">
        <is>
          <t>KUNGÄLV</t>
        </is>
      </c>
      <c r="I80" t="n">
        <v>0.8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25624-2025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45803</v>
      </c>
      <c r="E81" s="1" t="n">
        <v>46320</v>
      </c>
      <c r="F81" t="inlineStr">
        <is>
          <t>VÄSTRA GÖTALANDS LÄN</t>
        </is>
      </c>
      <c r="G81" t="inlineStr">
        <is>
          <t>KUNGÄLV</t>
        </is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43520-2022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44837</v>
      </c>
      <c r="E82" s="1" t="n">
        <v>46320</v>
      </c>
      <c r="F82" t="inlineStr">
        <is>
          <t>VÄSTRA GÖTALANDS LÄN</t>
        </is>
      </c>
      <c r="G82" t="inlineStr">
        <is>
          <t>KUNGÄLV</t>
        </is>
      </c>
      <c r="I82" t="n">
        <v>1.5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41442-2025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45869</v>
      </c>
      <c r="E83" s="1" t="n">
        <v>46320</v>
      </c>
      <c r="F83" t="inlineStr">
        <is>
          <t>VÄSTRA GÖTALANDS LÄN</t>
        </is>
      </c>
      <c r="G83" t="inlineStr">
        <is>
          <t>KUNGÄLV</t>
        </is>
      </c>
      <c r="I83" t="n">
        <v>1.8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29223-2024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45482</v>
      </c>
      <c r="E84" s="1" t="n">
        <v>46320</v>
      </c>
      <c r="F84" t="inlineStr">
        <is>
          <t>VÄSTRA GÖTALANDS LÄN</t>
        </is>
      </c>
      <c r="G84" t="inlineStr">
        <is>
          <t>KUNGÄLV</t>
        </is>
      </c>
      <c r="I84" t="n">
        <v>5.6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49985-2023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45215</v>
      </c>
      <c r="E85" s="1" t="n">
        <v>46320</v>
      </c>
      <c r="F85" t="inlineStr">
        <is>
          <t>VÄSTRA GÖTALANDS LÄN</t>
        </is>
      </c>
      <c r="G85" t="inlineStr">
        <is>
          <t>KUNGÄLV</t>
        </is>
      </c>
      <c r="I85" t="n">
        <v>8.199999999999999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50071-2023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45215</v>
      </c>
      <c r="E86" s="1" t="n">
        <v>46320</v>
      </c>
      <c r="F86" t="inlineStr">
        <is>
          <t>VÄSTRA GÖTALANDS LÄN</t>
        </is>
      </c>
      <c r="G86" t="inlineStr">
        <is>
          <t>KUNGÄLV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43193-2026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46313</v>
      </c>
      <c r="E87" s="1" t="n">
        <v>46320</v>
      </c>
      <c r="F87" t="inlineStr">
        <is>
          <t>VÄSTRA GÖTALANDS LÄN</t>
        </is>
      </c>
      <c r="G87" t="inlineStr">
        <is>
          <t>KUNGÄLV</t>
        </is>
      </c>
      <c r="I87" t="n">
        <v>1.6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43191-2026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46313</v>
      </c>
      <c r="E88" s="1" t="n">
        <v>46320</v>
      </c>
      <c r="F88" t="inlineStr">
        <is>
          <t>VÄSTRA GÖTALANDS LÄN</t>
        </is>
      </c>
      <c r="G88" t="inlineStr">
        <is>
          <t>KUNGÄLV</t>
        </is>
      </c>
      <c r="I88" t="n">
        <v>1.6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8334-2023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44975</v>
      </c>
      <c r="E89" s="1" t="n">
        <v>46320</v>
      </c>
      <c r="F89" t="inlineStr">
        <is>
          <t>VÄSTRA GÖTALANDS LÄN</t>
        </is>
      </c>
      <c r="G89" t="inlineStr">
        <is>
          <t>KUNGÄLV</t>
        </is>
      </c>
      <c r="I89" t="n">
        <v>1.8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34244-2025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45844</v>
      </c>
      <c r="E90" s="1" t="n">
        <v>46320</v>
      </c>
      <c r="F90" t="inlineStr">
        <is>
          <t>VÄSTRA GÖTALANDS LÄN</t>
        </is>
      </c>
      <c r="G90" t="inlineStr">
        <is>
          <t>KUNGÄLV</t>
        </is>
      </c>
      <c r="I90" t="n">
        <v>2.9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22731-2026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46157</v>
      </c>
      <c r="E91" s="1" t="n">
        <v>46320</v>
      </c>
      <c r="F91" t="inlineStr">
        <is>
          <t>VÄSTRA GÖTALANDS LÄN</t>
        </is>
      </c>
      <c r="G91" t="inlineStr">
        <is>
          <t>KUNGÄLV</t>
        </is>
      </c>
      <c r="I91" t="n">
        <v>1.8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32391-2025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45837</v>
      </c>
      <c r="E92" s="1" t="n">
        <v>46320</v>
      </c>
      <c r="F92" t="inlineStr">
        <is>
          <t>VÄSTRA GÖTALANDS LÄN</t>
        </is>
      </c>
      <c r="G92" t="inlineStr">
        <is>
          <t>KUNGÄLV</t>
        </is>
      </c>
      <c r="I92" t="n">
        <v>2.1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4262-2024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45324</v>
      </c>
      <c r="E93" s="1" t="n">
        <v>46320</v>
      </c>
      <c r="F93" t="inlineStr">
        <is>
          <t>VÄSTRA GÖTALANDS LÄN</t>
        </is>
      </c>
      <c r="G93" t="inlineStr">
        <is>
          <t>KUNGÄLV</t>
        </is>
      </c>
      <c r="I93" t="n">
        <v>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661-2025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45664</v>
      </c>
      <c r="E94" s="1" t="n">
        <v>46320</v>
      </c>
      <c r="F94" t="inlineStr">
        <is>
          <t>VÄSTRA GÖTALANDS LÄN</t>
        </is>
      </c>
      <c r="G94" t="inlineStr">
        <is>
          <t>KUNGÄLV</t>
        </is>
      </c>
      <c r="I94" t="n">
        <v>3.1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24461-2023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45082</v>
      </c>
      <c r="E95" s="1" t="n">
        <v>46320</v>
      </c>
      <c r="F95" t="inlineStr">
        <is>
          <t>VÄSTRA GÖTALANDS LÄN</t>
        </is>
      </c>
      <c r="G95" t="inlineStr">
        <is>
          <t>KUNGÄLV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143-2023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44928</v>
      </c>
      <c r="E96" s="1" t="n">
        <v>46320</v>
      </c>
      <c r="F96" t="inlineStr">
        <is>
          <t>VÄSTRA GÖTALANDS LÄN</t>
        </is>
      </c>
      <c r="G96" t="inlineStr">
        <is>
          <t>KUNGÄLV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63319-2021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44508</v>
      </c>
      <c r="E97" s="1" t="n">
        <v>46320</v>
      </c>
      <c r="F97" t="inlineStr">
        <is>
          <t>VÄSTRA GÖTALANDS LÄN</t>
        </is>
      </c>
      <c r="G97" t="inlineStr">
        <is>
          <t>KUNGÄLV</t>
        </is>
      </c>
      <c r="I97" t="n">
        <v>1.6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7505-2024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45347</v>
      </c>
      <c r="E98" s="1" t="n">
        <v>46320</v>
      </c>
      <c r="F98" t="inlineStr">
        <is>
          <t>VÄSTRA GÖTALANDS LÄN</t>
        </is>
      </c>
      <c r="G98" t="inlineStr">
        <is>
          <t>KUNGÄLV</t>
        </is>
      </c>
      <c r="I98" t="n">
        <v>1.8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10655-2022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44624</v>
      </c>
      <c r="E99" s="1" t="n">
        <v>46320</v>
      </c>
      <c r="F99" t="inlineStr">
        <is>
          <t>VÄSTRA GÖTALANDS LÄN</t>
        </is>
      </c>
      <c r="G99" t="inlineStr">
        <is>
          <t>KUNGÄLV</t>
        </is>
      </c>
      <c r="I99" t="n">
        <v>13.3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17455-2025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45757</v>
      </c>
      <c r="E100" s="1" t="n">
        <v>46320</v>
      </c>
      <c r="F100" t="inlineStr">
        <is>
          <t>VÄSTRA GÖTALANDS LÄN</t>
        </is>
      </c>
      <c r="G100" t="inlineStr">
        <is>
          <t>KUNGÄLV</t>
        </is>
      </c>
      <c r="I100" t="n">
        <v>2.1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19531-2023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45050</v>
      </c>
      <c r="E101" s="1" t="n">
        <v>46320</v>
      </c>
      <c r="F101" t="inlineStr">
        <is>
          <t>VÄSTRA GÖTALANDS LÄN</t>
        </is>
      </c>
      <c r="G101" t="inlineStr">
        <is>
          <t>KUNGÄLV</t>
        </is>
      </c>
      <c r="I101" t="n">
        <v>1.9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5705-2025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45694</v>
      </c>
      <c r="E102" s="1" t="n">
        <v>46320</v>
      </c>
      <c r="F102" t="inlineStr">
        <is>
          <t>VÄSTRA GÖTALANDS LÄN</t>
        </is>
      </c>
      <c r="G102" t="inlineStr">
        <is>
          <t>KUNGÄLV</t>
        </is>
      </c>
      <c r="I102" t="n">
        <v>1.2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62979-2023</t>
        </is>
      </c>
      <c r="B103" t="inlineStr">
        <is>
          <t>avverkningsanmälan</t>
        </is>
      </c>
      <c r="C103" t="inlineStr">
        <is>
          <t>Avverkning för annat ändamål</t>
        </is>
      </c>
      <c r="D103" s="1" t="n">
        <v>45271</v>
      </c>
      <c r="E103" s="1" t="n">
        <v>46320</v>
      </c>
      <c r="F103" t="inlineStr">
        <is>
          <t>VÄSTRA GÖTALANDS LÄN</t>
        </is>
      </c>
      <c r="G103" t="inlineStr">
        <is>
          <t>KUNGÄLV</t>
        </is>
      </c>
      <c r="I103" t="n">
        <v>0.8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16538-2025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45751</v>
      </c>
      <c r="E104" s="1" t="n">
        <v>46320</v>
      </c>
      <c r="F104" t="inlineStr">
        <is>
          <t>VÄSTRA GÖTALANDS LÄN</t>
        </is>
      </c>
      <c r="G104" t="inlineStr">
        <is>
          <t>KUNGÄLV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29801-2022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44755</v>
      </c>
      <c r="E105" s="1" t="n">
        <v>46320</v>
      </c>
      <c r="F105" t="inlineStr">
        <is>
          <t>VÄSTRA GÖTALANDS LÄN</t>
        </is>
      </c>
      <c r="G105" t="inlineStr">
        <is>
          <t>KUNGÄLV</t>
        </is>
      </c>
      <c r="I105" t="n">
        <v>4.8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49981-2023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45215</v>
      </c>
      <c r="E106" s="1" t="n">
        <v>46320</v>
      </c>
      <c r="F106" t="inlineStr">
        <is>
          <t>VÄSTRA GÖTALANDS LÄN</t>
        </is>
      </c>
      <c r="G106" t="inlineStr">
        <is>
          <t>KUNGÄLV</t>
        </is>
      </c>
      <c r="I106" t="n">
        <v>2.5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71835-2021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44543</v>
      </c>
      <c r="E107" s="1" t="n">
        <v>46320</v>
      </c>
      <c r="F107" t="inlineStr">
        <is>
          <t>VÄSTRA GÖTALANDS LÄN</t>
        </is>
      </c>
      <c r="G107" t="inlineStr">
        <is>
          <t>KUNGÄLV</t>
        </is>
      </c>
      <c r="I107" t="n">
        <v>7.5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>
      <c r="A108" t="inlineStr">
        <is>
          <t>S 817-2024</t>
        </is>
      </c>
      <c r="B108" t="inlineStr">
        <is>
          <t>samrådsanmälan</t>
        </is>
      </c>
      <c r="C108" t="inlineStr">
        <is>
          <t>Annan skogsbruksåtgärd</t>
        </is>
      </c>
      <c r="D108" s="1" t="n">
        <v>45371</v>
      </c>
      <c r="E108" s="1" t="n">
        <v>46320</v>
      </c>
      <c r="F108" t="inlineStr">
        <is>
          <t>VÄSTRA GÖTALANDS LÄN</t>
        </is>
      </c>
      <c r="G108" t="inlineStr">
        <is>
          <t>KUNGÄLV</t>
        </is>
      </c>
      <c r="H108" t="inlineStr">
        <is>
          <t>Övriga statliga verk och myndigheter</t>
        </is>
      </c>
      <c r="I108" t="n">
        <v>2.4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2026-10-25T02:04:53Z</dcterms:created>
  <dcterms:modified xmlns:dcterms="http://purl.org/dc/terms/" xmlns:xsi="http://www.w3.org/2001/XMLSchema-instance" xsi:type="dcterms:W3CDTF">2026-10-25T02:04:53Z</dcterms:modified>
</cp:coreProperties>
</file>