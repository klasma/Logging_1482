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46188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46188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46188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46188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46188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46188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46188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46188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46188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46188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23598-2026</t>
        </is>
      </c>
      <c r="B13" s="1" t="n">
        <v>46163.65006944445</v>
      </c>
      <c r="C13" s="1" t="n">
        <v>46188</v>
      </c>
      <c r="D13" t="inlineStr">
        <is>
          <t>VÄSTRA GÖTALANDS LÄN</t>
        </is>
      </c>
      <c r="E13" t="inlineStr">
        <is>
          <t>KUNGÄLV</t>
        </is>
      </c>
      <c r="G13" t="n">
        <v>13.5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Blåsippa</t>
        </is>
      </c>
      <c r="S13">
        <f>HYPERLINK("https://klasma.github.io/Logging_1482/artfynd/A 23598-2026 artfynd.xlsx", "A 23598-2026")</f>
        <v/>
      </c>
      <c r="T13">
        <f>HYPERLINK("https://klasma.github.io/Logging_1482/kartor/A 23598-2026 karta.png", "A 23598-2026")</f>
        <v/>
      </c>
      <c r="V13">
        <f>HYPERLINK("https://klasma.github.io/Logging_1482/klagomål/A 23598-2026 FSC-klagomål.docx", "A 23598-2026")</f>
        <v/>
      </c>
      <c r="W13">
        <f>HYPERLINK("https://klasma.github.io/Logging_1482/klagomålsmail/A 23598-2026 FSC-klagomål mail.docx", "A 23598-2026")</f>
        <v/>
      </c>
      <c r="X13">
        <f>HYPERLINK("https://klasma.github.io/Logging_1482/tillsyn/A 23598-2026 tillsynsbegäran.docx", "A 23598-2026")</f>
        <v/>
      </c>
      <c r="Y13">
        <f>HYPERLINK("https://klasma.github.io/Logging_1482/tillsynsmail/A 23598-2026 tillsynsbegäran mail.docx", "A 23598-2026")</f>
        <v/>
      </c>
      <c r="Z13">
        <f>HYPERLINK("https://klasma.github.io/Logging_1482/fåglar/A 23598-2026 prioriterade fågelarter.docx", "A 23598-2026")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46188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58408-2025</t>
        </is>
      </c>
      <c r="B15" s="1" t="n">
        <v>45985.56969907408</v>
      </c>
      <c r="C15" s="1" t="n">
        <v>46188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58408-2025 artfynd.xlsx", "A 58408-2025")</f>
        <v/>
      </c>
      <c r="T15">
        <f>HYPERLINK("https://klasma.github.io/Logging_1482/kartor/A 58408-2025 karta.png", "A 58408-2025")</f>
        <v/>
      </c>
      <c r="V15">
        <f>HYPERLINK("https://klasma.github.io/Logging_1482/klagomål/A 58408-2025 FSC-klagomål.docx", "A 58408-2025")</f>
        <v/>
      </c>
      <c r="W15">
        <f>HYPERLINK("https://klasma.github.io/Logging_1482/klagomålsmail/A 58408-2025 FSC-klagomål mail.docx", "A 58408-2025")</f>
        <v/>
      </c>
      <c r="X15">
        <f>HYPERLINK("https://klasma.github.io/Logging_1482/tillsyn/A 58408-2025 tillsynsbegäran.docx", "A 58408-2025")</f>
        <v/>
      </c>
      <c r="Y15">
        <f>HYPERLINK("https://klasma.github.io/Logging_1482/tillsynsmail/A 58408-2025 tillsynsbegäran mail.docx", "A 58408-2025")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46188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46188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46188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46188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46188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46188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46188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46188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46188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19132-2022</t>
        </is>
      </c>
      <c r="B25" s="1" t="n">
        <v>44691</v>
      </c>
      <c r="C25" s="1" t="n">
        <v>46188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19133-2022</t>
        </is>
      </c>
      <c r="B26" s="1" t="n">
        <v>44691</v>
      </c>
      <c r="C26" s="1" t="n">
        <v>46188</v>
      </c>
      <c r="D26" t="inlineStr">
        <is>
          <t>VÄSTRA GÖTALANDS LÄN</t>
        </is>
      </c>
      <c r="E26" t="inlineStr">
        <is>
          <t>KUNGÄLV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46188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46188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46188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46188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46188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46188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46188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46188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46188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46188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21240-2023</t>
        </is>
      </c>
      <c r="B37" s="1" t="n">
        <v>45058</v>
      </c>
      <c r="C37" s="1" t="n">
        <v>46188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5631-2024</t>
        </is>
      </c>
      <c r="B38" s="1" t="n">
        <v>45334.61013888889</v>
      </c>
      <c r="C38" s="1" t="n">
        <v>46188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46188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52932-2025</t>
        </is>
      </c>
      <c r="B40" s="1" t="n">
        <v>45957.62373842593</v>
      </c>
      <c r="C40" s="1" t="n">
        <v>46188</v>
      </c>
      <c r="D40" t="inlineStr">
        <is>
          <t>VÄSTRA GÖTALANDS LÄN</t>
        </is>
      </c>
      <c r="E40" t="inlineStr">
        <is>
          <t>KUNGÄLV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46188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40951-2025</t>
        </is>
      </c>
      <c r="B42" s="1" t="n">
        <v>45897.66342592592</v>
      </c>
      <c r="C42" s="1" t="n">
        <v>46188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46188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46188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46188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46188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46188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56394-2025</t>
        </is>
      </c>
      <c r="B48" s="1" t="n">
        <v>45974.74313657408</v>
      </c>
      <c r="C48" s="1" t="n">
        <v>46188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46188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45124-2025</t>
        </is>
      </c>
      <c r="B50" s="1" t="n">
        <v>45919.43206018519</v>
      </c>
      <c r="C50" s="1" t="n">
        <v>46188</v>
      </c>
      <c r="D50" t="inlineStr">
        <is>
          <t>VÄSTRA GÖTALANDS LÄN</t>
        </is>
      </c>
      <c r="E50" t="inlineStr">
        <is>
          <t>KUNGÄLV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47564-2025</t>
        </is>
      </c>
      <c r="B51" s="1" t="n">
        <v>45931.38982638889</v>
      </c>
      <c r="C51" s="1" t="n">
        <v>46188</v>
      </c>
      <c r="D51" t="inlineStr">
        <is>
          <t>VÄSTRA GÖTALANDS LÄN</t>
        </is>
      </c>
      <c r="E51" t="inlineStr">
        <is>
          <t>KUNGÄLV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19531-2023</t>
        </is>
      </c>
      <c r="B52" s="1" t="n">
        <v>45050.54896990741</v>
      </c>
      <c r="C52" s="1" t="n">
        <v>46188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5705-2025</t>
        </is>
      </c>
      <c r="B53" s="1" t="n">
        <v>45694</v>
      </c>
      <c r="C53" s="1" t="n">
        <v>46188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46188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74285-2021</t>
        </is>
      </c>
      <c r="B55" s="1" t="n">
        <v>44558</v>
      </c>
      <c r="C55" s="1" t="n">
        <v>46188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46188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46188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34366-2022</t>
        </is>
      </c>
      <c r="B58" s="1" t="n">
        <v>44792</v>
      </c>
      <c r="C58" s="1" t="n">
        <v>46188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32272-2023</t>
        </is>
      </c>
      <c r="B59" s="1" t="n">
        <v>45120.35368055556</v>
      </c>
      <c r="C59" s="1" t="n">
        <v>46188</v>
      </c>
      <c r="D59" t="inlineStr">
        <is>
          <t>VÄSTRA GÖTALANDS LÄN</t>
        </is>
      </c>
      <c r="E59" t="inlineStr">
        <is>
          <t>KUNGÄLV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4673-2026</t>
        </is>
      </c>
      <c r="B60" s="1" t="n">
        <v>46048.42462962963</v>
      </c>
      <c r="C60" s="1" t="n">
        <v>46188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46188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6946-2026</t>
        </is>
      </c>
      <c r="B62" s="1" t="n">
        <v>46057</v>
      </c>
      <c r="C62" s="1" t="n">
        <v>46188</v>
      </c>
      <c r="D62" t="inlineStr">
        <is>
          <t>VÄSTRA GÖTALANDS LÄN</t>
        </is>
      </c>
      <c r="E62" t="inlineStr">
        <is>
          <t>KUNGÄLV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32847-2023</t>
        </is>
      </c>
      <c r="B63" s="1" t="n">
        <v>45124.61965277778</v>
      </c>
      <c r="C63" s="1" t="n">
        <v>46188</v>
      </c>
      <c r="D63" t="inlineStr">
        <is>
          <t>VÄSTRA GÖTALANDS LÄN</t>
        </is>
      </c>
      <c r="E63" t="inlineStr">
        <is>
          <t>KUNGÄLV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25135-2025</t>
        </is>
      </c>
      <c r="B64" s="1" t="n">
        <v>45798</v>
      </c>
      <c r="C64" s="1" t="n">
        <v>46188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46188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46188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46188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46188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37443-2025</t>
        </is>
      </c>
      <c r="B69" s="1" t="n">
        <v>45877.54152777778</v>
      </c>
      <c r="C69" s="1" t="n">
        <v>46188</v>
      </c>
      <c r="D69" t="inlineStr">
        <is>
          <t>VÄSTRA GÖTALANDS LÄN</t>
        </is>
      </c>
      <c r="E69" t="inlineStr">
        <is>
          <t>KUNGÄLV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46188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12731-2026</t>
        </is>
      </c>
      <c r="B71" s="1" t="n">
        <v>46091.63040509259</v>
      </c>
      <c r="C71" s="1" t="n">
        <v>46188</v>
      </c>
      <c r="D71" t="inlineStr">
        <is>
          <t>VÄSTRA GÖTALANDS LÄN</t>
        </is>
      </c>
      <c r="E71" t="inlineStr">
        <is>
          <t>KUNGÄLV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46188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13990-2026</t>
        </is>
      </c>
      <c r="B73" s="1" t="n">
        <v>46098.61854166666</v>
      </c>
      <c r="C73" s="1" t="n">
        <v>46188</v>
      </c>
      <c r="D73" t="inlineStr">
        <is>
          <t>VÄSTRA GÖTALANDS LÄN</t>
        </is>
      </c>
      <c r="E73" t="inlineStr">
        <is>
          <t>KUNGÄLV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30170-2022</t>
        </is>
      </c>
      <c r="B74" s="1" t="n">
        <v>44757</v>
      </c>
      <c r="C74" s="1" t="n">
        <v>46188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10810-2023</t>
        </is>
      </c>
      <c r="B75" s="1" t="n">
        <v>44989.75795138889</v>
      </c>
      <c r="C75" s="1" t="n">
        <v>46188</v>
      </c>
      <c r="D75" t="inlineStr">
        <is>
          <t>VÄSTRA GÖTALANDS LÄN</t>
        </is>
      </c>
      <c r="E75" t="inlineStr">
        <is>
          <t>KUNGÄLV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4204-2024</t>
        </is>
      </c>
      <c r="B76" s="1" t="n">
        <v>45324.36422453704</v>
      </c>
      <c r="C76" s="1" t="n">
        <v>46188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34244-2025</t>
        </is>
      </c>
      <c r="B77" s="1" t="n">
        <v>45844</v>
      </c>
      <c r="C77" s="1" t="n">
        <v>46188</v>
      </c>
      <c r="D77" t="inlineStr">
        <is>
          <t>VÄSTRA GÖTALANDS LÄN</t>
        </is>
      </c>
      <c r="E77" t="inlineStr">
        <is>
          <t>KUNGÄLV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25624-2025</t>
        </is>
      </c>
      <c r="B78" s="1" t="n">
        <v>45803.57885416667</v>
      </c>
      <c r="C78" s="1" t="n">
        <v>46188</v>
      </c>
      <c r="D78" t="inlineStr">
        <is>
          <t>VÄSTRA GÖTALANDS LÄN</t>
        </is>
      </c>
      <c r="E78" t="inlineStr">
        <is>
          <t>KUNGÄLV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62128-2021</t>
        </is>
      </c>
      <c r="B79" s="1" t="n">
        <v>44502</v>
      </c>
      <c r="C79" s="1" t="n">
        <v>46188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41442-2025</t>
        </is>
      </c>
      <c r="B80" s="1" t="n">
        <v>45869</v>
      </c>
      <c r="C80" s="1" t="n">
        <v>46188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62979-2023</t>
        </is>
      </c>
      <c r="B81" s="1" t="n">
        <v>45271</v>
      </c>
      <c r="C81" s="1" t="n">
        <v>46188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22731-2026</t>
        </is>
      </c>
      <c r="B82" s="1" t="n">
        <v>46157.3750462963</v>
      </c>
      <c r="C82" s="1" t="n">
        <v>46188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46188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23607-2026</t>
        </is>
      </c>
      <c r="B84" s="1" t="n">
        <v>46163.65798611111</v>
      </c>
      <c r="C84" s="1" t="n">
        <v>46188</v>
      </c>
      <c r="D84" t="inlineStr">
        <is>
          <t>VÄSTRA GÖTALANDS LÄN</t>
        </is>
      </c>
      <c r="E84" t="inlineStr">
        <is>
          <t>KUNGÄLV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44176-2023</t>
        </is>
      </c>
      <c r="B85" s="1" t="n">
        <v>45188</v>
      </c>
      <c r="C85" s="1" t="n">
        <v>46188</v>
      </c>
      <c r="D85" t="inlineStr">
        <is>
          <t>VÄSTRA GÖTALANDS LÄN</t>
        </is>
      </c>
      <c r="E85" t="inlineStr">
        <is>
          <t>KUNGÄLV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17922-2025</t>
        </is>
      </c>
      <c r="B86" s="1" t="n">
        <v>45758.90710648148</v>
      </c>
      <c r="C86" s="1" t="n">
        <v>46188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46188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46188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18852-2024</t>
        </is>
      </c>
      <c r="B89" s="1" t="n">
        <v>45426.69550925926</v>
      </c>
      <c r="C89" s="1" t="n">
        <v>46188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43520-2022</t>
        </is>
      </c>
      <c r="B90" s="1" t="n">
        <v>44837.37417824074</v>
      </c>
      <c r="C90" s="1" t="n">
        <v>46188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49985-2023</t>
        </is>
      </c>
      <c r="B91" s="1" t="n">
        <v>45215</v>
      </c>
      <c r="C91" s="1" t="n">
        <v>46188</v>
      </c>
      <c r="D91" t="inlineStr">
        <is>
          <t>VÄSTRA GÖTALANDS LÄN</t>
        </is>
      </c>
      <c r="E91" t="inlineStr">
        <is>
          <t>KUNGÄLV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46188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48312-2021</t>
        </is>
      </c>
      <c r="B93" s="1" t="n">
        <v>44450.66346064815</v>
      </c>
      <c r="C93" s="1" t="n">
        <v>46188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46188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50071-2023</t>
        </is>
      </c>
      <c r="B95" s="1" t="n">
        <v>45215</v>
      </c>
      <c r="C95" s="1" t="n">
        <v>46188</v>
      </c>
      <c r="D95" t="inlineStr">
        <is>
          <t>VÄSTRA GÖTALANDS LÄN</t>
        </is>
      </c>
      <c r="E95" t="inlineStr">
        <is>
          <t>KUNGÄLV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46188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46188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71835-2021</t>
        </is>
      </c>
      <c r="B98" s="1" t="n">
        <v>44543.62230324074</v>
      </c>
      <c r="C98" s="1" t="n">
        <v>46188</v>
      </c>
      <c r="D98" t="inlineStr">
        <is>
          <t>VÄSTRA GÖTALANDS LÄN</t>
        </is>
      </c>
      <c r="E98" t="inlineStr">
        <is>
          <t>KUNGÄLV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46188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47569-2025</t>
        </is>
      </c>
      <c r="B100" s="1" t="n">
        <v>45931.39331018519</v>
      </c>
      <c r="C100" s="1" t="n">
        <v>46188</v>
      </c>
      <c r="D100" t="inlineStr">
        <is>
          <t>VÄSTRA GÖTALANDS LÄN</t>
        </is>
      </c>
      <c r="E100" t="inlineStr">
        <is>
          <t>KUNGÄLV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661-2025</t>
        </is>
      </c>
      <c r="B101" s="1" t="n">
        <v>45664.68572916667</v>
      </c>
      <c r="C101" s="1" t="n">
        <v>46188</v>
      </c>
      <c r="D101" t="inlineStr">
        <is>
          <t>VÄSTRA GÖTALANDS LÄN</t>
        </is>
      </c>
      <c r="E101" t="inlineStr">
        <is>
          <t>KUNGÄLV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43207-2025</t>
        </is>
      </c>
      <c r="B102" s="1" t="n">
        <v>45910.45111111111</v>
      </c>
      <c r="C102" s="1" t="n">
        <v>46188</v>
      </c>
      <c r="D102" t="inlineStr">
        <is>
          <t>VÄSTRA GÖTALANDS LÄN</t>
        </is>
      </c>
      <c r="E102" t="inlineStr">
        <is>
          <t>KUNGÄLV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46188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13880-2024</t>
        </is>
      </c>
      <c r="B104" s="1" t="n">
        <v>45391.59994212963</v>
      </c>
      <c r="C104" s="1" t="n">
        <v>46188</v>
      </c>
      <c r="D104" t="inlineStr">
        <is>
          <t>VÄSTRA GÖTALANDS LÄN</t>
        </is>
      </c>
      <c r="E104" t="inlineStr">
        <is>
          <t>KUNGÄLV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4263-2024</t>
        </is>
      </c>
      <c r="B105" s="1" t="n">
        <v>45324.51049768519</v>
      </c>
      <c r="C105" s="1" t="n">
        <v>46188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46188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41765-2021</t>
        </is>
      </c>
      <c r="B107" s="1" t="n">
        <v>44425</v>
      </c>
      <c r="C107" s="1" t="n">
        <v>46188</v>
      </c>
      <c r="D107" t="inlineStr">
        <is>
          <t>VÄSTRA GÖTALANDS LÄN</t>
        </is>
      </c>
      <c r="E107" t="inlineStr">
        <is>
          <t>KUNGÄLV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46188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4262-2024</t>
        </is>
      </c>
      <c r="B109" s="1" t="n">
        <v>45324.50902777778</v>
      </c>
      <c r="C109" s="1" t="n">
        <v>46188</v>
      </c>
      <c r="D109" t="inlineStr">
        <is>
          <t>VÄSTRA GÖTALANDS LÄN</t>
        </is>
      </c>
      <c r="E109" t="inlineStr">
        <is>
          <t>KUNGÄLV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63319-2021</t>
        </is>
      </c>
      <c r="B110" s="1" t="n">
        <v>44508.45226851852</v>
      </c>
      <c r="C110" s="1" t="n">
        <v>46188</v>
      </c>
      <c r="D110" t="inlineStr">
        <is>
          <t>VÄSTRA GÖTALANDS LÄN</t>
        </is>
      </c>
      <c r="E110" t="inlineStr">
        <is>
          <t>KUNGÄLV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2026-06-15T09:28:32Z</dcterms:created>
  <dcterms:modified xmlns:dcterms="http://purl.org/dc/terms/" xmlns:xsi="http://www.w3.org/2001/XMLSchema-instance" xsi:type="dcterms:W3CDTF">2026-06-15T09:28:32Z</dcterms:modified>
</cp:coreProperties>
</file>