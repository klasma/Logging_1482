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11</v>
      </c>
      <c r="U3" t="n">
        <v>8</v>
      </c>
      <c r="V3" s="2" t="inlineStr">
        <is>
          <t>Entita
Grönsångare
Sädesärla
Vedtrappmossa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46231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46231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53008-2025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45957</v>
      </c>
      <c r="E8" s="1" t="n">
        <v>46231</v>
      </c>
      <c r="F8" t="inlineStr">
        <is>
          <t>VÄSTRA GÖTALANDS LÄN</t>
        </is>
      </c>
      <c r="G8" t="inlineStr">
        <is>
          <t>KUNGÄLV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Kambräken
Västlig hakmossa
Spillkråka</t>
        </is>
      </c>
      <c r="W8">
        <f>HYPERLINK("https://klasma.github.io/Logging_1482/artfynd/A 53008-2025 artfynd.xlsx", "A 53008-2025")</f>
        <v/>
      </c>
      <c r="X8">
        <f>HYPERLINK("https://klasma.github.io/Logging_1482/kartor/A 53008-2025 karta.png", "A 53008-2025")</f>
        <v/>
      </c>
      <c r="Y8">
        <f>HYPERLINK("https://klasma.github.io/Logging_1482/kartor_geotiff/A 53008-2025 georefererad karta.tif", "A 53008-2025")</f>
        <v/>
      </c>
      <c r="AA8">
        <f>HYPERLINK("https://klasma.github.io/Logging_1482/klagomål/A 53008-2025 FSC-klagomål.docx", "A 53008-2025")</f>
        <v/>
      </c>
      <c r="AB8">
        <f>HYPERLINK("https://klasma.github.io/Logging_1482/klagomålsmail/A 53008-2025 FSC-klagomål mail.docx", "A 53008-2025")</f>
        <v/>
      </c>
      <c r="AC8">
        <f>HYPERLINK("https://klasma.github.io/Logging_1482/tillsyn/A 53008-2025 tillsynsbegäran.docx", "A 53008-2025")</f>
        <v/>
      </c>
      <c r="AD8">
        <f>HYPERLINK("https://klasma.github.io/Logging_1482/tillsynsmail/A 53008-2025 tillsynsbegäran mail.docx", "A 53008-2025")</f>
        <v/>
      </c>
      <c r="AE8">
        <f>HYPERLINK("https://klasma.github.io/Logging_1482/fåglar/A 53008-2025 prioriterade fågelarter.docx", "A 53008-2025")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46231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46231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46231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58408-2025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46231</v>
      </c>
      <c r="F12" t="inlineStr">
        <is>
          <t>VÄSTRA GÖTALANDS LÄN</t>
        </is>
      </c>
      <c r="G12" t="inlineStr">
        <is>
          <t>KUNGÄLV</t>
        </is>
      </c>
      <c r="I12" t="n">
        <v>8.1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Älg
Spillkråka
Revlummer</t>
        </is>
      </c>
      <c r="W12">
        <f>HYPERLINK("https://klasma.github.io/Logging_1482/artfynd/A 58408-2025 artfynd.xlsx", "A 58408-2025")</f>
        <v/>
      </c>
      <c r="X12">
        <f>HYPERLINK("https://klasma.github.io/Logging_1482/kartor/A 58408-2025 karta.png", "A 58408-2025")</f>
        <v/>
      </c>
      <c r="Y12">
        <f>HYPERLINK("https://klasma.github.io/Logging_1482/kartor_geotiff/A 58408-2025 georefererad karta.tif", "A 58408-2025")</f>
        <v/>
      </c>
      <c r="AA12">
        <f>HYPERLINK("https://klasma.github.io/Logging_1482/klagomål/A 58408-2025 FSC-klagomål.docx", "A 58408-2025")</f>
        <v/>
      </c>
      <c r="AB12">
        <f>HYPERLINK("https://klasma.github.io/Logging_1482/klagomålsmail/A 58408-2025 FSC-klagomål mail.docx", "A 58408-2025")</f>
        <v/>
      </c>
      <c r="AC12">
        <f>HYPERLINK("https://klasma.github.io/Logging_1482/tillsyn/A 58408-2025 tillsynsbegäran.docx", "A 58408-2025")</f>
        <v/>
      </c>
      <c r="AD12">
        <f>HYPERLINK("https://klasma.github.io/Logging_1482/tillsynsmail/A 58408-2025 tillsynsbegäran mail.docx", "A 58408-2025")</f>
        <v/>
      </c>
      <c r="AE12">
        <f>HYPERLINK("https://klasma.github.io/Logging_1482/fåglar/A 58408-2025 prioriterade fågelarter.docx", "A 58408-2025")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46231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46231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46231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46231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46231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HYPERLINK("https://klasma.github.io/Logging_1482/artfynd/A 49988-2023 artfynd.xlsx", "A 49988-2023")</f>
        <v/>
      </c>
      <c r="X18">
        <f>HYPERLINK("https://klasma.github.io/Logging_1482/kartor/A 49988-2023 karta.png", "A 49988-2023")</f>
        <v/>
      </c>
      <c r="Y18">
        <f>HYPERLINK("https://klasma.github.io/Logging_1482/kartor_geotiff/A 49988-2023 georefererad karta.tif", "A 49988-2023")</f>
        <v/>
      </c>
      <c r="AA18">
        <f>HYPERLINK("https://klasma.github.io/Logging_1482/klagomål/A 49988-2023 FSC-klagomål.docx", "A 49988-2023")</f>
        <v/>
      </c>
      <c r="AB18">
        <f>HYPERLINK("https://klasma.github.io/Logging_1482/klagomålsmail/A 49988-2023 FSC-klagomål mail.docx", "A 49988-2023")</f>
        <v/>
      </c>
      <c r="AC18">
        <f>HYPERLINK("https://klasma.github.io/Logging_1482/tillsyn/A 49988-2023 tillsynsbegäran.docx", "A 49988-2023")</f>
        <v/>
      </c>
      <c r="AD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46231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HYPERLINK("https://klasma.github.io/Logging_1482/artfynd/A 6082-2025 artfynd.xlsx", "A 6082-2025")</f>
        <v/>
      </c>
      <c r="X19">
        <f>HYPERLINK("https://klasma.github.io/Logging_1482/kartor/A 6082-2025 karta.png", "A 6082-2025")</f>
        <v/>
      </c>
      <c r="Y19">
        <f>HYPERLINK("https://klasma.github.io/Logging_1482/kartor_geotiff/A 6082-2025 georefererad karta.tif", "A 6082-2025")</f>
        <v/>
      </c>
      <c r="AA19">
        <f>HYPERLINK("https://klasma.github.io/Logging_1482/klagomål/A 6082-2025 FSC-klagomål.docx", "A 6082-2025")</f>
        <v/>
      </c>
      <c r="AB19">
        <f>HYPERLINK("https://klasma.github.io/Logging_1482/klagomålsmail/A 6082-2025 FSC-klagomål mail.docx", "A 6082-2025")</f>
        <v/>
      </c>
      <c r="AC19">
        <f>HYPERLINK("https://klasma.github.io/Logging_1482/tillsyn/A 6082-2025 tillsynsbegäran.docx", "A 6082-2025")</f>
        <v/>
      </c>
      <c r="AD19">
        <f>HYPERLINK("https://klasma.github.io/Logging_1482/tillsynsmail/A 6082-2025 tillsynsbegäran mail.docx", "A 6082-2025")</f>
        <v/>
      </c>
      <c r="AE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46231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Grönsångare</t>
        </is>
      </c>
      <c r="W20">
        <f>HYPERLINK("https://klasma.github.io/Logging_1482/artfynd/A 30860-2026 artfynd.xlsx", "A 30860-2026")</f>
        <v/>
      </c>
      <c r="X20">
        <f>HYPERLINK("https://klasma.github.io/Logging_1482/kartor/A 30860-2026 karta.png", "A 30860-2026")</f>
        <v/>
      </c>
      <c r="Y20">
        <f>HYPERLINK("https://klasma.github.io/Logging_1482/kartor_geotiff/A 30860-2026 georefererad karta.tif", "A 30860-2026")</f>
        <v/>
      </c>
      <c r="AA20">
        <f>HYPERLINK("https://klasma.github.io/Logging_1482/klagomål/A 30860-2026 FSC-klagomål.docx", "A 30860-2026")</f>
        <v/>
      </c>
      <c r="AB20">
        <f>HYPERLINK("https://klasma.github.io/Logging_1482/klagomålsmail/A 30860-2026 FSC-klagomål mail.docx", "A 30860-2026")</f>
        <v/>
      </c>
      <c r="AC20">
        <f>HYPERLINK("https://klasma.github.io/Logging_1482/tillsyn/A 30860-2026 tillsynsbegäran.docx", "A 30860-2026")</f>
        <v/>
      </c>
      <c r="AD20">
        <f>HYPERLINK("https://klasma.github.io/Logging_1482/tillsynsmail/A 30860-2026 tillsynsbegäran mail.docx", "A 30860-2026")</f>
        <v/>
      </c>
      <c r="AE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46231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46231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46231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46231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46231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46231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46231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46231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46231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46231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46231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46231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46231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46231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46231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46231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45391</v>
      </c>
      <c r="E38" s="1" t="n">
        <v>46231</v>
      </c>
      <c r="F38" t="inlineStr">
        <is>
          <t>VÄSTRA GÖTALANDS LÄN</t>
        </is>
      </c>
      <c r="G38" t="inlineStr">
        <is>
          <t>KUNGÄLV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45308</v>
      </c>
      <c r="E39" s="1" t="n">
        <v>46231</v>
      </c>
      <c r="F39" t="inlineStr">
        <is>
          <t>VÄSTRA GÖTALANDS LÄN</t>
        </is>
      </c>
      <c r="G39" t="inlineStr">
        <is>
          <t>KUNGÄLV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46231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46231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46231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46231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44916</v>
      </c>
      <c r="E44" s="1" t="n">
        <v>46231</v>
      </c>
      <c r="F44" t="inlineStr">
        <is>
          <t>VÄSTRA GÖTALANDS LÄN</t>
        </is>
      </c>
      <c r="G44" t="inlineStr">
        <is>
          <t>KUNGÄLV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46231</v>
      </c>
      <c r="F45" t="inlineStr">
        <is>
          <t>VÄSTRA GÖTALANDS LÄN</t>
        </is>
      </c>
      <c r="G45" t="inlineStr">
        <is>
          <t>KUNGÄLV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44792</v>
      </c>
      <c r="E46" s="1" t="n">
        <v>46231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32847-2023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45124</v>
      </c>
      <c r="E47" s="1" t="n">
        <v>46231</v>
      </c>
      <c r="F47" t="inlineStr">
        <is>
          <t>VÄSTRA GÖTALANDS LÄN</t>
        </is>
      </c>
      <c r="G47" t="inlineStr">
        <is>
          <t>KUNGÄLV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46048</v>
      </c>
      <c r="E48" s="1" t="n">
        <v>46231</v>
      </c>
      <c r="F48" t="inlineStr">
        <is>
          <t>VÄSTRA GÖTALANDS LÄN</t>
        </is>
      </c>
      <c r="G48" t="inlineStr">
        <is>
          <t>KUNGÄLV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46231</v>
      </c>
      <c r="F49" t="inlineStr">
        <is>
          <t>VÄSTRA GÖTALANDS LÄN</t>
        </is>
      </c>
      <c r="G49" t="inlineStr">
        <is>
          <t>KUNGÄLV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6946-2026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46057</v>
      </c>
      <c r="E50" s="1" t="n">
        <v>46231</v>
      </c>
      <c r="F50" t="inlineStr">
        <is>
          <t>VÄSTRA GÖTALANDS LÄN</t>
        </is>
      </c>
      <c r="G50" t="inlineStr">
        <is>
          <t>KUNGÄLV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46231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46231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46231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45877</v>
      </c>
      <c r="E54" s="1" t="n">
        <v>46231</v>
      </c>
      <c r="F54" t="inlineStr">
        <is>
          <t>VÄSTRA GÖTALANDS LÄN</t>
        </is>
      </c>
      <c r="G54" t="inlineStr">
        <is>
          <t>KUNGÄLV</t>
        </is>
      </c>
      <c r="H54" t="inlineStr">
        <is>
          <t>Kyrkan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46231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46231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46231</v>
      </c>
      <c r="F57" t="inlineStr">
        <is>
          <t>VÄSTRA GÖTALANDS LÄN</t>
        </is>
      </c>
      <c r="G57" t="inlineStr">
        <is>
          <t>KUNGÄLV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46231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46231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46231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46231</v>
      </c>
      <c r="F61" t="inlineStr">
        <is>
          <t>VÄSTRA GÖTALANDS LÄN</t>
        </is>
      </c>
      <c r="G61" t="inlineStr">
        <is>
          <t>KUNGÄLV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46231</v>
      </c>
      <c r="F62" t="inlineStr">
        <is>
          <t>VÄSTRA GÖTALANDS LÄN</t>
        </is>
      </c>
      <c r="G62" t="inlineStr">
        <is>
          <t>KUNGÄLV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46231</v>
      </c>
      <c r="F63" t="inlineStr">
        <is>
          <t>VÄSTRA GÖTALANDS LÄN</t>
        </is>
      </c>
      <c r="G63" t="inlineStr">
        <is>
          <t>KUNGÄLV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46231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46231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46231</v>
      </c>
      <c r="F66" t="inlineStr">
        <is>
          <t>VÄSTRA GÖTALANDS LÄN</t>
        </is>
      </c>
      <c r="G66" t="inlineStr">
        <is>
          <t>KUNGÄLV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63319-2021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46231</v>
      </c>
      <c r="F67" t="inlineStr">
        <is>
          <t>VÄSTRA GÖTALANDS LÄN</t>
        </is>
      </c>
      <c r="G67" t="inlineStr">
        <is>
          <t>KUNGÄLV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45347</v>
      </c>
      <c r="E68" s="1" t="n">
        <v>46231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46157</v>
      </c>
      <c r="E69" s="1" t="n">
        <v>46231</v>
      </c>
      <c r="F69" t="inlineStr">
        <is>
          <t>VÄSTRA GÖTALANDS LÄN</t>
        </is>
      </c>
      <c r="G69" t="inlineStr">
        <is>
          <t>KUNGÄLV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45837</v>
      </c>
      <c r="E70" s="1" t="n">
        <v>46231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46163</v>
      </c>
      <c r="E71" s="1" t="n">
        <v>46231</v>
      </c>
      <c r="F71" t="inlineStr">
        <is>
          <t>VÄSTRA GÖTALANDS LÄN</t>
        </is>
      </c>
      <c r="G71" t="inlineStr">
        <is>
          <t>KUNGÄLV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46231</v>
      </c>
      <c r="F72" t="inlineStr">
        <is>
          <t>VÄSTRA GÖTALANDS LÄN</t>
        </is>
      </c>
      <c r="G72" t="inlineStr">
        <is>
          <t>KUNGÄLV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46231</v>
      </c>
      <c r="F73" t="inlineStr">
        <is>
          <t>VÄSTRA GÖTALANDS LÄN</t>
        </is>
      </c>
      <c r="G73" t="inlineStr">
        <is>
          <t>KUNGÄLV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46231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46231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46231</v>
      </c>
      <c r="F76" t="inlineStr">
        <is>
          <t>VÄSTRA GÖTALANDS LÄN</t>
        </is>
      </c>
      <c r="G76" t="inlineStr">
        <is>
          <t>KUNGÄLV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30859-2026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46212</v>
      </c>
      <c r="E77" s="1" t="n">
        <v>46231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30872-2026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46212</v>
      </c>
      <c r="E78" s="1" t="n">
        <v>46231</v>
      </c>
      <c r="F78" t="inlineStr">
        <is>
          <t>VÄSTRA GÖTALANDS LÄN</t>
        </is>
      </c>
      <c r="G78" t="inlineStr">
        <is>
          <t>KUNGÄLV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46231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46231</v>
      </c>
      <c r="F80" t="inlineStr">
        <is>
          <t>VÄSTRA GÖTALANDS LÄN</t>
        </is>
      </c>
      <c r="G80" t="inlineStr">
        <is>
          <t>KUNGÄLV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46231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45694</v>
      </c>
      <c r="E82" s="1" t="n">
        <v>46231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62979-2023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45271</v>
      </c>
      <c r="E83" s="1" t="n">
        <v>46231</v>
      </c>
      <c r="F83" t="inlineStr">
        <is>
          <t>VÄSTRA GÖTALANDS LÄN</t>
        </is>
      </c>
      <c r="G83" t="inlineStr">
        <is>
          <t>KUNGÄLV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46231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44755</v>
      </c>
      <c r="E85" s="1" t="n">
        <v>46231</v>
      </c>
      <c r="F85" t="inlineStr">
        <is>
          <t>VÄSTRA GÖTALANDS LÄN</t>
        </is>
      </c>
      <c r="G85" t="inlineStr">
        <is>
          <t>KUNGÄLV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46231</v>
      </c>
      <c r="F86" t="inlineStr">
        <is>
          <t>VÄSTRA GÖTALANDS LÄN</t>
        </is>
      </c>
      <c r="G86" t="inlineStr">
        <is>
          <t>KUNGÄLV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46231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46231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46231</v>
      </c>
      <c r="F89" t="inlineStr">
        <is>
          <t>VÄSTRA GÖTALANDS LÄN</t>
        </is>
      </c>
      <c r="G89" t="inlineStr">
        <is>
          <t>KUNGÄLV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46231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46231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46231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46231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46231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46231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46231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46231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46231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46231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46231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46231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46231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46231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46231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46231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2026-07-28T01:51:32Z</dcterms:created>
  <dcterms:modified xmlns:dcterms="http://purl.org/dc/terms/" xmlns:xsi="http://www.w3.org/2001/XMLSchema-instance" xsi:type="dcterms:W3CDTF">2026-07-28T01:51:33Z</dcterms:modified>
</cp:coreProperties>
</file>