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46222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46222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Y4">
        <f>HYPERLINK("https://klasma.github.io/Logging_1482/klagomål/A 6041-2025 FSC-klagomål.docx", "A 6041-2025")</f>
        <v/>
      </c>
      <c r="Z4">
        <f>HYPERLINK("https://klasma.github.io/Logging_1482/klagomålsmail/A 6041-2025 FSC-klagomål mail.docx", "A 6041-2025")</f>
        <v/>
      </c>
      <c r="AA4">
        <f>HYPERLINK("https://klasma.github.io/Logging_1482/tillsyn/A 6041-2025 tillsynsbegäran.docx", "A 6041-2025")</f>
        <v/>
      </c>
      <c r="AB4">
        <f>HYPERLINK("https://klasma.github.io/Logging_1482/tillsynsmail/A 6041-2025 tillsynsbegäran mail.docx", "A 6041-2025")</f>
        <v/>
      </c>
      <c r="AC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Y5">
        <f>HYPERLINK("https://klasma.github.io/Logging_1482/klagomål/A 45243-2025 FSC-klagomål.docx", "A 45243-2025")</f>
        <v/>
      </c>
      <c r="Z5">
        <f>HYPERLINK("https://klasma.github.io/Logging_1482/klagomålsmail/A 45243-2025 FSC-klagomål mail.docx", "A 45243-2025")</f>
        <v/>
      </c>
      <c r="AA5">
        <f>HYPERLINK("https://klasma.github.io/Logging_1482/tillsyn/A 45243-2025 tillsynsbegäran.docx", "A 45243-2025")</f>
        <v/>
      </c>
      <c r="AB5">
        <f>HYPERLINK("https://klasma.github.io/Logging_1482/tillsynsmail/A 45243-2025 tillsynsbegäran mail.docx", "A 45243-2025")</f>
        <v/>
      </c>
      <c r="AC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46222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Y6">
        <f>HYPERLINK("https://klasma.github.io/Logging_1482/klagomål/A 36424-2025 FSC-klagomål.docx", "A 36424-2025")</f>
        <v/>
      </c>
      <c r="Z6">
        <f>HYPERLINK("https://klasma.github.io/Logging_1482/klagomålsmail/A 36424-2025 FSC-klagomål mail.docx", "A 36424-2025")</f>
        <v/>
      </c>
      <c r="AA6">
        <f>HYPERLINK("https://klasma.github.io/Logging_1482/tillsyn/A 36424-2025 tillsynsbegäran.docx", "A 36424-2025")</f>
        <v/>
      </c>
      <c r="AB6">
        <f>HYPERLINK("https://klasma.github.io/Logging_1482/tillsynsmail/A 36424-2025 tillsynsbegäran mail.docx", "A 36424-2025")</f>
        <v/>
      </c>
      <c r="AC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Y7">
        <f>HYPERLINK("https://klasma.github.io/Logging_1482/klagomål/A 59985-2025 FSC-klagomål.docx", "A 59985-2025")</f>
        <v/>
      </c>
      <c r="Z7">
        <f>HYPERLINK("https://klasma.github.io/Logging_1482/klagomålsmail/A 59985-2025 FSC-klagomål mail.docx", "A 59985-2025")</f>
        <v/>
      </c>
      <c r="AA7">
        <f>HYPERLINK("https://klasma.github.io/Logging_1482/tillsyn/A 59985-2025 tillsynsbegäran.docx", "A 59985-2025")</f>
        <v/>
      </c>
      <c r="AB7">
        <f>HYPERLINK("https://klasma.github.io/Logging_1482/tillsynsmail/A 59985-2025 tillsynsbegäran mail.docx", "A 59985-2025")</f>
        <v/>
      </c>
      <c r="AC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46222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Blåmossa
Spillkråka
Revlummer</t>
        </is>
      </c>
      <c r="V8">
        <f>HYPERLINK("https://klasma.github.io/Logging_1482/artfynd/A 48345-2021 artfynd.xlsx", "A 48345-2021")</f>
        <v/>
      </c>
      <c r="W8">
        <f>HYPERLINK("https://klasma.github.io/Logging_1482/kartor/A 48345-2021 karta.png", "A 48345-2021")</f>
        <v/>
      </c>
      <c r="Y8">
        <f>HYPERLINK("https://klasma.github.io/Logging_1482/klagomål/A 48345-2021 FSC-klagomål.docx", "A 48345-2021")</f>
        <v/>
      </c>
      <c r="Z8">
        <f>HYPERLINK("https://klasma.github.io/Logging_1482/klagomålsmail/A 48345-2021 FSC-klagomål mail.docx", "A 48345-2021")</f>
        <v/>
      </c>
      <c r="AA8">
        <f>HYPERLINK("https://klasma.github.io/Logging_1482/tillsyn/A 48345-2021 tillsynsbegäran.docx", "A 48345-2021")</f>
        <v/>
      </c>
      <c r="AB8">
        <f>HYPERLINK("https://klasma.github.io/Logging_1482/tillsynsmail/A 48345-2021 tillsynsbegäran mail.docx", "A 48345-2021")</f>
        <v/>
      </c>
      <c r="AC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46222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Älg
Spillkråka
Revlummer</t>
        </is>
      </c>
      <c r="V9">
        <f>HYPERLINK("https://klasma.github.io/Logging_1482/artfynd/A 58408-2025 artfynd.xlsx", "A 58408-2025")</f>
        <v/>
      </c>
      <c r="W9">
        <f>HYPERLINK("https://klasma.github.io/Logging_1482/kartor/A 58408-2025 karta.png", "A 58408-2025")</f>
        <v/>
      </c>
      <c r="Y9">
        <f>HYPERLINK("https://klasma.github.io/Logging_1482/klagomål/A 58408-2025 FSC-klagomål.docx", "A 58408-2025")</f>
        <v/>
      </c>
      <c r="Z9">
        <f>HYPERLINK("https://klasma.github.io/Logging_1482/klagomålsmail/A 58408-2025 FSC-klagomål mail.docx", "A 58408-2025")</f>
        <v/>
      </c>
      <c r="AA9">
        <f>HYPERLINK("https://klasma.github.io/Logging_1482/tillsyn/A 58408-2025 tillsynsbegäran.docx", "A 58408-2025")</f>
        <v/>
      </c>
      <c r="AB9">
        <f>HYPERLINK("https://klasma.github.io/Logging_1482/tillsynsmail/A 58408-2025 tillsynsbegäran mail.docx", "A 58408-2025")</f>
        <v/>
      </c>
      <c r="AC9">
        <f>HYPERLINK("https://klasma.github.io/Logging_1482/fåglar/A 58408-2025 prioriterade fågelarter.docx", "A 58408-2025")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46222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Gulsparv
Spillkråka
Revlummer</t>
        </is>
      </c>
      <c r="V10">
        <f>HYPERLINK("https://klasma.github.io/Logging_1482/artfynd/A 8558-2024 artfynd.xlsx", "A 8558-2024")</f>
        <v/>
      </c>
      <c r="W10">
        <f>HYPERLINK("https://klasma.github.io/Logging_1482/kartor/A 8558-2024 karta.png", "A 8558-2024")</f>
        <v/>
      </c>
      <c r="Y10">
        <f>HYPERLINK("https://klasma.github.io/Logging_1482/klagomål/A 8558-2024 FSC-klagomål.docx", "A 8558-2024")</f>
        <v/>
      </c>
      <c r="Z10">
        <f>HYPERLINK("https://klasma.github.io/Logging_1482/klagomålsmail/A 8558-2024 FSC-klagomål mail.docx", "A 8558-2024")</f>
        <v/>
      </c>
      <c r="AA10">
        <f>HYPERLINK("https://klasma.github.io/Logging_1482/tillsyn/A 8558-2024 tillsynsbegäran.docx", "A 8558-2024")</f>
        <v/>
      </c>
      <c r="AB10">
        <f>HYPERLINK("https://klasma.github.io/Logging_1482/tillsynsmail/A 8558-2024 tillsynsbegäran mail.docx", "A 8558-2024")</f>
        <v/>
      </c>
      <c r="AC10">
        <f>HYPERLINK("https://klasma.github.io/Logging_1482/fåglar/A 8558-2024 prioriterade fågelarter.docx", "A 8558-2024")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46222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Kambräken
Västlig hakmossa
Spillkråka</t>
        </is>
      </c>
      <c r="V11">
        <f>HYPERLINK("https://klasma.github.io/Logging_1482/artfynd/A 53008-2025 artfynd.xlsx", "A 53008-2025")</f>
        <v/>
      </c>
      <c r="W11">
        <f>HYPERLINK("https://klasma.github.io/Logging_1482/kartor/A 53008-2025 karta.png", "A 53008-2025")</f>
        <v/>
      </c>
      <c r="Y11">
        <f>HYPERLINK("https://klasma.github.io/Logging_1482/klagomål/A 53008-2025 FSC-klagomål.docx", "A 53008-2025")</f>
        <v/>
      </c>
      <c r="Z11">
        <f>HYPERLINK("https://klasma.github.io/Logging_1482/klagomålsmail/A 53008-2025 FSC-klagomål mail.docx", "A 53008-2025")</f>
        <v/>
      </c>
      <c r="AA11">
        <f>HYPERLINK("https://klasma.github.io/Logging_1482/tillsyn/A 53008-2025 tillsynsbegäran.docx", "A 53008-2025")</f>
        <v/>
      </c>
      <c r="AB11">
        <f>HYPERLINK("https://klasma.github.io/Logging_1482/tillsynsmail/A 53008-2025 tillsynsbegäran mail.docx", "A 53008-2025")</f>
        <v/>
      </c>
      <c r="AC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46222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Blåsippa
Spillkråka
Skogsödla</t>
        </is>
      </c>
      <c r="V12">
        <f>HYPERLINK("https://klasma.github.io/Logging_1482/artfynd/A 29061-2026 artfynd.xlsx", "A 29061-2026")</f>
        <v/>
      </c>
      <c r="W12">
        <f>HYPERLINK("https://klasma.github.io/Logging_1482/kartor/A 29061-2026 karta.png", "A 29061-2026")</f>
        <v/>
      </c>
      <c r="Y12">
        <f>HYPERLINK("https://klasma.github.io/Logging_1482/klagomål/A 29061-2026 FSC-klagomål.docx", "A 29061-2026")</f>
        <v/>
      </c>
      <c r="Z12">
        <f>HYPERLINK("https://klasma.github.io/Logging_1482/klagomålsmail/A 29061-2026 FSC-klagomål mail.docx", "A 29061-2026")</f>
        <v/>
      </c>
      <c r="AA12">
        <f>HYPERLINK("https://klasma.github.io/Logging_1482/tillsyn/A 29061-2026 tillsynsbegäran.docx", "A 29061-2026")</f>
        <v/>
      </c>
      <c r="AB12">
        <f>HYPERLINK("https://klasma.github.io/Logging_1482/tillsynsmail/A 29061-2026 tillsynsbegäran mail.docx", "A 29061-2026")</f>
        <v/>
      </c>
      <c r="AC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46222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Y13">
        <f>HYPERLINK("https://klasma.github.io/Logging_1482/klagomål/A 56394-2025 FSC-klagomål.docx", "A 56394-2025")</f>
        <v/>
      </c>
      <c r="Z13">
        <f>HYPERLINK("https://klasma.github.io/Logging_1482/klagomålsmail/A 56394-2025 FSC-klagomål mail.docx", "A 56394-2025")</f>
        <v/>
      </c>
      <c r="AA13">
        <f>HYPERLINK("https://klasma.github.io/Logging_1482/tillsyn/A 56394-2025 tillsynsbegäran.docx", "A 56394-2025")</f>
        <v/>
      </c>
      <c r="AB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46222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Västlig hakmossa
Spillkråka</t>
        </is>
      </c>
      <c r="V14">
        <f>HYPERLINK("https://klasma.github.io/Logging_1482/artfynd/A 57116-2025 artfynd.xlsx", "A 57116-2025")</f>
        <v/>
      </c>
      <c r="W14">
        <f>HYPERLINK("https://klasma.github.io/Logging_1482/kartor/A 57116-2025 karta.png", "A 57116-2025")</f>
        <v/>
      </c>
      <c r="Y14">
        <f>HYPERLINK("https://klasma.github.io/Logging_1482/klagomål/A 57116-2025 FSC-klagomål.docx", "A 57116-2025")</f>
        <v/>
      </c>
      <c r="Z14">
        <f>HYPERLINK("https://klasma.github.io/Logging_1482/klagomålsmail/A 57116-2025 FSC-klagomål mail.docx", "A 57116-2025")</f>
        <v/>
      </c>
      <c r="AA14">
        <f>HYPERLINK("https://klasma.github.io/Logging_1482/tillsyn/A 57116-2025 tillsynsbegäran.docx", "A 57116-2025")</f>
        <v/>
      </c>
      <c r="AB14">
        <f>HYPERLINK("https://klasma.github.io/Logging_1482/tillsynsmail/A 57116-2025 tillsynsbegäran mail.docx", "A 57116-2025")</f>
        <v/>
      </c>
      <c r="AC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46222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Västlig hakmossa
Spillkråka</t>
        </is>
      </c>
      <c r="V15">
        <f>HYPERLINK("https://klasma.github.io/Logging_1482/artfynd/A 53007-2025 artfynd.xlsx", "A 53007-2025")</f>
        <v/>
      </c>
      <c r="W15">
        <f>HYPERLINK("https://klasma.github.io/Logging_1482/kartor/A 53007-2025 karta.png", "A 53007-2025")</f>
        <v/>
      </c>
      <c r="Y15">
        <f>HYPERLINK("https://klasma.github.io/Logging_1482/klagomål/A 53007-2025 FSC-klagomål.docx", "A 53007-2025")</f>
        <v/>
      </c>
      <c r="Z15">
        <f>HYPERLINK("https://klasma.github.io/Logging_1482/klagomålsmail/A 53007-2025 FSC-klagomål mail.docx", "A 53007-2025")</f>
        <v/>
      </c>
      <c r="AA15">
        <f>HYPERLINK("https://klasma.github.io/Logging_1482/tillsyn/A 53007-2025 tillsynsbegäran.docx", "A 53007-2025")</f>
        <v/>
      </c>
      <c r="AB15">
        <f>HYPERLINK("https://klasma.github.io/Logging_1482/tillsynsmail/A 53007-2025 tillsynsbegäran mail.docx", "A 53007-2025")</f>
        <v/>
      </c>
      <c r="AC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46222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Vanlig groda
Fläcknycklar</t>
        </is>
      </c>
      <c r="V16">
        <f>HYPERLINK("https://klasma.github.io/Logging_1482/artfynd/A 5631-2024 artfynd.xlsx", "A 5631-2024")</f>
        <v/>
      </c>
      <c r="W16">
        <f>HYPERLINK("https://klasma.github.io/Logging_1482/kartor/A 5631-2024 karta.png", "A 5631-2024")</f>
        <v/>
      </c>
      <c r="Y16">
        <f>HYPERLINK("https://klasma.github.io/Logging_1482/klagomål/A 5631-2024 FSC-klagomål.docx", "A 5631-2024")</f>
        <v/>
      </c>
      <c r="Z16">
        <f>HYPERLINK("https://klasma.github.io/Logging_1482/klagomålsmail/A 5631-2024 FSC-klagomål mail.docx", "A 5631-2024")</f>
        <v/>
      </c>
      <c r="AA16">
        <f>HYPERLINK("https://klasma.github.io/Logging_1482/tillsyn/A 5631-2024 tillsynsbegäran.docx", "A 5631-2024")</f>
        <v/>
      </c>
      <c r="AB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46222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Klofibbla
Åkerrödtoppa</t>
        </is>
      </c>
      <c r="V17">
        <f>HYPERLINK("https://klasma.github.io/Logging_1482/artfynd/A 5637-2024 artfynd.xlsx", "A 5637-2024")</f>
        <v/>
      </c>
      <c r="W17">
        <f>HYPERLINK("https://klasma.github.io/Logging_1482/kartor/A 5637-2024 karta.png", "A 5637-2024")</f>
        <v/>
      </c>
      <c r="Y17">
        <f>HYPERLINK("https://klasma.github.io/Logging_1482/klagomål/A 5637-2024 FSC-klagomål.docx", "A 5637-2024")</f>
        <v/>
      </c>
      <c r="Z17">
        <f>HYPERLINK("https://klasma.github.io/Logging_1482/klagomålsmail/A 5637-2024 FSC-klagomål mail.docx", "A 5637-2024")</f>
        <v/>
      </c>
      <c r="AA17">
        <f>HYPERLINK("https://klasma.github.io/Logging_1482/tillsyn/A 5637-2024 tillsynsbegäran.docx", "A 5637-2024")</f>
        <v/>
      </c>
      <c r="AB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46222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HYPERLINK("https://klasma.github.io/Logging_1482/artfynd/A 49988-2023 artfynd.xlsx", "A 49988-2023")</f>
        <v/>
      </c>
      <c r="W18">
        <f>HYPERLINK("https://klasma.github.io/Logging_1482/kartor/A 49988-2023 karta.png", "A 49988-2023")</f>
        <v/>
      </c>
      <c r="Y18">
        <f>HYPERLINK("https://klasma.github.io/Logging_1482/klagomål/A 49988-2023 FSC-klagomål.docx", "A 49988-2023")</f>
        <v/>
      </c>
      <c r="Z18">
        <f>HYPERLINK("https://klasma.github.io/Logging_1482/klagomålsmail/A 49988-2023 FSC-klagomål mail.docx", "A 49988-2023")</f>
        <v/>
      </c>
      <c r="AA18">
        <f>HYPERLINK("https://klasma.github.io/Logging_1482/tillsyn/A 49988-2023 tillsynsbegäran.docx", "A 49988-2023")</f>
        <v/>
      </c>
      <c r="AB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46222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HYPERLINK("https://klasma.github.io/Logging_1482/artfynd/A 6082-2025 artfynd.xlsx", "A 6082-2025")</f>
        <v/>
      </c>
      <c r="W19">
        <f>HYPERLINK("https://klasma.github.io/Logging_1482/kartor/A 6082-2025 karta.png", "A 6082-2025")</f>
        <v/>
      </c>
      <c r="Y19">
        <f>HYPERLINK("https://klasma.github.io/Logging_1482/klagomål/A 6082-2025 FSC-klagomål.docx", "A 6082-2025")</f>
        <v/>
      </c>
      <c r="Z19">
        <f>HYPERLINK("https://klasma.github.io/Logging_1482/klagomålsmail/A 6082-2025 FSC-klagomål mail.docx", "A 6082-2025")</f>
        <v/>
      </c>
      <c r="AA19">
        <f>HYPERLINK("https://klasma.github.io/Logging_1482/tillsyn/A 6082-2025 tillsynsbegäran.docx", "A 6082-2025")</f>
        <v/>
      </c>
      <c r="AB19">
        <f>HYPERLINK("https://klasma.github.io/Logging_1482/tillsynsmail/A 6082-2025 tillsynsbegäran mail.docx", "A 6082-2025")</f>
        <v/>
      </c>
      <c r="AC19">
        <f>HYPERLINK("https://klasma.github.io/Logging_1482/fåglar/A 6082-2025 prioriterade fågelarter.docx", "A 6082-2025")</f>
        <v/>
      </c>
    </row>
    <row r="20" ht="15" customHeight="1">
      <c r="A20" t="inlineStr">
        <is>
          <t>A 30860-2026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46222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Grönsångare</t>
        </is>
      </c>
      <c r="V20">
        <f>HYPERLINK("https://klasma.github.io/Logging_1482/artfynd/A 30860-2026 artfynd.xlsx", "A 30860-2026")</f>
        <v/>
      </c>
      <c r="W20">
        <f>HYPERLINK("https://klasma.github.io/Logging_1482/kartor/A 30860-2026 karta.png", "A 30860-2026")</f>
        <v/>
      </c>
      <c r="Y20">
        <f>HYPERLINK("https://klasma.github.io/Logging_1482/klagomål/A 30860-2026 FSC-klagomål.docx", "A 30860-2026")</f>
        <v/>
      </c>
      <c r="Z20">
        <f>HYPERLINK("https://klasma.github.io/Logging_1482/klagomålsmail/A 30860-2026 FSC-klagomål mail.docx", "A 30860-2026")</f>
        <v/>
      </c>
      <c r="AA20">
        <f>HYPERLINK("https://klasma.github.io/Logging_1482/tillsyn/A 30860-2026 tillsynsbegäran.docx", "A 30860-2026")</f>
        <v/>
      </c>
      <c r="AB20">
        <f>HYPERLINK("https://klasma.github.io/Logging_1482/tillsynsmail/A 30860-2026 tillsynsbegäran mail.docx", "A 30860-2026")</f>
        <v/>
      </c>
      <c r="AC20">
        <f>HYPERLINK("https://klasma.github.io/Logging_1482/fåglar/A 30860-2026 prioriterade fågelarter.docx", "A 30860-2026")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46222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Grönvit nattviol</t>
        </is>
      </c>
      <c r="V21">
        <f>HYPERLINK("https://klasma.github.io/Logging_1482/artfynd/A 30862-2026 artfynd.xlsx", "A 30862-2026")</f>
        <v/>
      </c>
      <c r="W21">
        <f>HYPERLINK("https://klasma.github.io/Logging_1482/kartor/A 30862-2026 karta.png", "A 30862-2026")</f>
        <v/>
      </c>
      <c r="Y21">
        <f>HYPERLINK("https://klasma.github.io/Logging_1482/klagomål/A 30862-2026 FSC-klagomål.docx", "A 30862-2026")</f>
        <v/>
      </c>
      <c r="Z21">
        <f>HYPERLINK("https://klasma.github.io/Logging_1482/klagomålsmail/A 30862-2026 FSC-klagomål mail.docx", "A 30862-2026")</f>
        <v/>
      </c>
      <c r="AA21">
        <f>HYPERLINK("https://klasma.github.io/Logging_1482/tillsyn/A 30862-2026 tillsynsbegäran.docx", "A 30862-2026")</f>
        <v/>
      </c>
      <c r="AB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46222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Hedjohannesört</t>
        </is>
      </c>
      <c r="V22">
        <f>HYPERLINK("https://klasma.github.io/Logging_1482/artfynd/A 23704-2024 artfynd.xlsx", "A 23704-2024")</f>
        <v/>
      </c>
      <c r="W22">
        <f>HYPERLINK("https://klasma.github.io/Logging_1482/kartor/A 23704-2024 karta.png", "A 23704-2024")</f>
        <v/>
      </c>
      <c r="Y22">
        <f>HYPERLINK("https://klasma.github.io/Logging_1482/klagomål/A 23704-2024 FSC-klagomål.docx", "A 23704-2024")</f>
        <v/>
      </c>
      <c r="Z22">
        <f>HYPERLINK("https://klasma.github.io/Logging_1482/klagomålsmail/A 23704-2024 FSC-klagomål mail.docx", "A 23704-2024")</f>
        <v/>
      </c>
      <c r="AA22">
        <f>HYPERLINK("https://klasma.github.io/Logging_1482/tillsyn/A 23704-2024 tillsynsbegäran.docx", "A 23704-2024")</f>
        <v/>
      </c>
      <c r="AB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46222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46222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46222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46222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46222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46222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46222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46222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46222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46222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46222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46222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46222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46222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46222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13880-2024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45391</v>
      </c>
      <c r="E39" s="1" t="n">
        <v>46222</v>
      </c>
      <c r="F39" t="inlineStr">
        <is>
          <t>VÄSTRA GÖTALANDS LÄN</t>
        </is>
      </c>
      <c r="G39" t="inlineStr">
        <is>
          <t>KUNGÄLV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46222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46222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46222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34366-2022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44792</v>
      </c>
      <c r="E43" s="1" t="n">
        <v>46222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29223-2024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45482</v>
      </c>
      <c r="E44" s="1" t="n">
        <v>46222</v>
      </c>
      <c r="F44" t="inlineStr">
        <is>
          <t>VÄSTRA GÖTALANDS LÄN</t>
        </is>
      </c>
      <c r="G44" t="inlineStr">
        <is>
          <t>KUNGÄLV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46222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46222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32272-2023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46222</v>
      </c>
      <c r="F47" t="inlineStr">
        <is>
          <t>VÄSTRA GÖTALANDS LÄN</t>
        </is>
      </c>
      <c r="G47" t="inlineStr">
        <is>
          <t>KUNGÄLV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46222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46048</v>
      </c>
      <c r="E49" s="1" t="n">
        <v>46222</v>
      </c>
      <c r="F49" t="inlineStr">
        <is>
          <t>VÄSTRA GÖTALANDS LÄN</t>
        </is>
      </c>
      <c r="G49" t="inlineStr">
        <is>
          <t>KUNGÄLV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46222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40951-2025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46222</v>
      </c>
      <c r="F51" t="inlineStr">
        <is>
          <t>VÄSTRA GÖTALANDS LÄN</t>
        </is>
      </c>
      <c r="G51" t="inlineStr">
        <is>
          <t>KUNGÄLV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46222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46222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46222</v>
      </c>
      <c r="F54" t="inlineStr">
        <is>
          <t>VÄSTRA GÖTALANDS LÄN</t>
        </is>
      </c>
      <c r="G54" t="inlineStr">
        <is>
          <t>KUNGÄLV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47564-2025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46222</v>
      </c>
      <c r="F55" t="inlineStr">
        <is>
          <t>VÄSTRA GÖTALANDS LÄN</t>
        </is>
      </c>
      <c r="G55" t="inlineStr">
        <is>
          <t>KUNGÄLV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46222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46222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6946-2026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46057</v>
      </c>
      <c r="E58" s="1" t="n">
        <v>46222</v>
      </c>
      <c r="F58" t="inlineStr">
        <is>
          <t>VÄSTRA GÖTALANDS LÄN</t>
        </is>
      </c>
      <c r="G58" t="inlineStr">
        <is>
          <t>KUNGÄLV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46222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52932-2025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46222</v>
      </c>
      <c r="F60" t="inlineStr">
        <is>
          <t>VÄSTRA GÖTALANDS LÄN</t>
        </is>
      </c>
      <c r="G60" t="inlineStr">
        <is>
          <t>KUNGÄLV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46222</v>
      </c>
      <c r="F61" t="inlineStr">
        <is>
          <t>VÄSTRA GÖTALANDS LÄN</t>
        </is>
      </c>
      <c r="G61" t="inlineStr">
        <is>
          <t>KUNGÄLV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46222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46222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13990-2026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46222</v>
      </c>
      <c r="F64" t="inlineStr">
        <is>
          <t>VÄSTRA GÖTALANDS LÄN</t>
        </is>
      </c>
      <c r="G64" t="inlineStr">
        <is>
          <t>KUNGÄLV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46222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46222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46222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10655-2022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46222</v>
      </c>
      <c r="F68" t="inlineStr">
        <is>
          <t>VÄSTRA GÖTALANDS LÄN</t>
        </is>
      </c>
      <c r="G68" t="inlineStr">
        <is>
          <t>KUNGÄLV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46222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47569-2025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46222</v>
      </c>
      <c r="F70" t="inlineStr">
        <is>
          <t>VÄSTRA GÖTALANDS LÄN</t>
        </is>
      </c>
      <c r="G70" t="inlineStr">
        <is>
          <t>KUNGÄLV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50071-2023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46222</v>
      </c>
      <c r="F71" t="inlineStr">
        <is>
          <t>VÄSTRA GÖTALANDS LÄN</t>
        </is>
      </c>
      <c r="G71" t="inlineStr">
        <is>
          <t>KUNGÄLV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46222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46222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45694</v>
      </c>
      <c r="E74" s="1" t="n">
        <v>46222</v>
      </c>
      <c r="F74" t="inlineStr">
        <is>
          <t>VÄSTRA GÖTALANDS LÄN</t>
        </is>
      </c>
      <c r="G74" t="inlineStr">
        <is>
          <t>KUNGÄLV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62979-2023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45271</v>
      </c>
      <c r="E75" s="1" t="n">
        <v>46222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46222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46222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46222</v>
      </c>
      <c r="F78" t="inlineStr">
        <is>
          <t>VÄSTRA GÖTALANDS LÄN</t>
        </is>
      </c>
      <c r="G78" t="inlineStr">
        <is>
          <t>KUNGÄLV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46222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46222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46222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46222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26812-2024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46222</v>
      </c>
      <c r="F83" t="inlineStr">
        <is>
          <t>VÄSTRA GÖTALANDS LÄN</t>
        </is>
      </c>
      <c r="G83" t="inlineStr">
        <is>
          <t>KUNGÄLV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46163</v>
      </c>
      <c r="E84" s="1" t="n">
        <v>46222</v>
      </c>
      <c r="F84" t="inlineStr">
        <is>
          <t>VÄSTRA GÖTALANDS LÄN</t>
        </is>
      </c>
      <c r="G84" t="inlineStr">
        <is>
          <t>KUNGÄLV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46222</v>
      </c>
      <c r="F85" t="inlineStr">
        <is>
          <t>VÄSTRA GÖTALANDS LÄN</t>
        </is>
      </c>
      <c r="G85" t="inlineStr">
        <is>
          <t>KUNGÄLV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25135-2025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45798</v>
      </c>
      <c r="E86" s="1" t="n">
        <v>46222</v>
      </c>
      <c r="F86" t="inlineStr">
        <is>
          <t>VÄSTRA GÖTALANDS LÄN</t>
        </is>
      </c>
      <c r="G86" t="inlineStr">
        <is>
          <t>KUNGÄLV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30859-2026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46212</v>
      </c>
      <c r="E87" s="1" t="n">
        <v>46222</v>
      </c>
      <c r="F87" t="inlineStr">
        <is>
          <t>VÄSTRA GÖTALANDS LÄN</t>
        </is>
      </c>
      <c r="G87" t="inlineStr">
        <is>
          <t>KUNGÄLV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30872-2026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46212</v>
      </c>
      <c r="E88" s="1" t="n">
        <v>46222</v>
      </c>
      <c r="F88" t="inlineStr">
        <is>
          <t>VÄSTRA GÖTALANDS LÄN</t>
        </is>
      </c>
      <c r="G88" t="inlineStr">
        <is>
          <t>KUNGÄLV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30738-2026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46211</v>
      </c>
      <c r="E89" s="1" t="n">
        <v>46222</v>
      </c>
      <c r="F89" t="inlineStr">
        <is>
          <t>VÄSTRA GÖTALANDS LÄN</t>
        </is>
      </c>
      <c r="G89" t="inlineStr">
        <is>
          <t>KUNGÄLV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46222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46222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46222</v>
      </c>
      <c r="F92" t="inlineStr">
        <is>
          <t>VÄSTRA GÖTALANDS LÄN</t>
        </is>
      </c>
      <c r="G92" t="inlineStr">
        <is>
          <t>KUNGÄLV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46222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46222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44176-2023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46222</v>
      </c>
      <c r="F95" t="inlineStr">
        <is>
          <t>VÄSTRA GÖTALANDS LÄN</t>
        </is>
      </c>
      <c r="G95" t="inlineStr">
        <is>
          <t>KUNGÄLV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46222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46222</v>
      </c>
      <c r="F97" t="inlineStr">
        <is>
          <t>VÄSTRA GÖTALANDS LÄN</t>
        </is>
      </c>
      <c r="G97" t="inlineStr">
        <is>
          <t>KUNGÄLV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46222</v>
      </c>
      <c r="F98" t="inlineStr">
        <is>
          <t>VÄSTRA GÖTALANDS LÄN</t>
        </is>
      </c>
      <c r="G98" t="inlineStr">
        <is>
          <t>KUNGÄLV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46222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46222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46222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46222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46222</v>
      </c>
      <c r="F103" t="inlineStr">
        <is>
          <t>VÄSTRA GÖTALANDS LÄN</t>
        </is>
      </c>
      <c r="G103" t="inlineStr">
        <is>
          <t>KUNGÄLV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46222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46222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2026-07-19T01:33:09Z</dcterms:created>
  <dcterms:modified xmlns:dcterms="http://purl.org/dc/terms/" xmlns:xsi="http://www.w3.org/2001/XMLSchema-instance" xsi:type="dcterms:W3CDTF">2026-07-19T01:33:09Z</dcterms:modified>
</cp:coreProperties>
</file>