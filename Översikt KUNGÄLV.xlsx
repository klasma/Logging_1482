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10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A 38982-2024</t>
        </is>
      </c>
      <c r="B2" t="inlineStr">
        <is>
          <t>avverkningsanmälan</t>
        </is>
      </c>
      <c r="C2" t="inlineStr">
        <is>
          <t>Föryngringsavverkning</t>
        </is>
      </c>
      <c r="D2" s="1" t="n">
        <v>45548</v>
      </c>
      <c r="E2" s="1" t="n">
        <v>46277</v>
      </c>
      <c r="F2" t="inlineStr">
        <is>
          <t>VÄSTRA GÖTALANDS LÄN</t>
        </is>
      </c>
      <c r="G2" t="inlineStr">
        <is>
          <t>KUNGÄLV</t>
        </is>
      </c>
      <c r="I2" t="n">
        <v>20.3</v>
      </c>
      <c r="J2" t="n">
        <v>7</v>
      </c>
      <c r="K2" t="n">
        <v>11</v>
      </c>
      <c r="L2" t="n">
        <v>4</v>
      </c>
      <c r="M2" t="n">
        <v>2</v>
      </c>
      <c r="N2" t="n">
        <v>0</v>
      </c>
      <c r="O2" t="n">
        <v>0</v>
      </c>
      <c r="P2" t="n">
        <v>0</v>
      </c>
      <c r="Q2" t="n">
        <v>6</v>
      </c>
      <c r="R2" t="n">
        <v>2</v>
      </c>
      <c r="S2" t="n">
        <v>22</v>
      </c>
      <c r="T2" t="n">
        <v>41</v>
      </c>
      <c r="U2" t="n">
        <v>35</v>
      </c>
      <c r="V2" s="2" t="inlineStr">
        <is>
          <t>Gränsticka
Hedjohannesört
Brunpudrad nållav
Gransotdyna
Kortskaftad ärgspik
Talltita
Blåsfliksmossa
Brandticka
Bronshjon
Kambräken
Klippfrullania
Kornig nållav
Läderskål
Skuggmossa
Smal svampklubba
Stor revmossa
Vågbandad barkbock
Mattlummer
Spillkråka
Vanlig groda
Lopplummer (aggregat)
Revlummer</t>
        </is>
      </c>
      <c r="W2">
        <f>HYPERLINK("https://klasma.github.io/Logging_1482/artfynd/A 38982-2024 artfynd.xlsx", "A 38982-2024")</f>
        <v/>
      </c>
      <c r="X2">
        <f>HYPERLINK("https://klasma.github.io/Logging_1482/kartor/A 38982-2024 karta.png", "A 38982-2024")</f>
        <v/>
      </c>
      <c r="Y2">
        <f>HYPERLINK("https://klasma.github.io/Logging_1482/kartor_geotiff/A 38982-2024 georefererad karta.tif", "A 38982-2024")</f>
        <v/>
      </c>
      <c r="AA2">
        <f>HYPERLINK("https://klasma.github.io/Logging_1482/klagomål/A 38982-2024 FSC-klagomål.docx", "A 38982-2024")</f>
        <v/>
      </c>
      <c r="AB2">
        <f>HYPERLINK("https://klasma.github.io/Logging_1482/klagomålsmail/A 38982-2024 FSC-klagomål mail.docx", "A 38982-2024")</f>
        <v/>
      </c>
      <c r="AC2">
        <f>HYPERLINK("https://klasma.github.io/Logging_1482/tillsyn/A 38982-2024 tillsynsbegäran.docx", "A 38982-2024")</f>
        <v/>
      </c>
      <c r="AD2">
        <f>HYPERLINK("https://klasma.github.io/Logging_1482/tillsynsmail/A 38982-2024 tillsynsbegäran mail.docx", "A 38982-2024")</f>
        <v/>
      </c>
      <c r="AE2">
        <f>HYPERLINK("https://klasma.github.io/Logging_1482/fåglar/A 38982-2024 prioriterade fågelarter.docx", "A 38982-2024")</f>
        <v/>
      </c>
    </row>
    <row r="3" ht="15" customHeight="1">
      <c r="A3" t="inlineStr">
        <is>
          <t>A 36424-2025</t>
        </is>
      </c>
      <c r="B3" t="inlineStr">
        <is>
          <t>avverkningsanmälan</t>
        </is>
      </c>
      <c r="C3" t="inlineStr">
        <is>
          <t>Föryngringsavverkning</t>
        </is>
      </c>
      <c r="D3" s="1" t="n">
        <v>45868</v>
      </c>
      <c r="E3" s="1" t="n">
        <v>46277</v>
      </c>
      <c r="F3" t="inlineStr">
        <is>
          <t>VÄSTRA GÖTALANDS LÄN</t>
        </is>
      </c>
      <c r="G3" t="inlineStr">
        <is>
          <t>KUNGÄLV</t>
        </is>
      </c>
      <c r="I3" t="n">
        <v>16.9</v>
      </c>
      <c r="J3" t="n">
        <v>5</v>
      </c>
      <c r="K3" t="n">
        <v>3</v>
      </c>
      <c r="L3" t="n">
        <v>6</v>
      </c>
      <c r="M3" t="n">
        <v>0</v>
      </c>
      <c r="N3" t="n">
        <v>1</v>
      </c>
      <c r="O3" t="n">
        <v>0</v>
      </c>
      <c r="P3" t="n">
        <v>0</v>
      </c>
      <c r="Q3" t="n">
        <v>7</v>
      </c>
      <c r="R3" t="n">
        <v>1</v>
      </c>
      <c r="S3" t="n">
        <v>12</v>
      </c>
      <c r="T3" t="n">
        <v>19</v>
      </c>
      <c r="U3" t="n">
        <v>16</v>
      </c>
      <c r="V3" s="2" t="inlineStr">
        <is>
          <t>Ask
Entita
Grönsångare
Skogshare
Sädesärla
Vedtrappmossa
Älg
Blanksvart trämyra
Blåmossa
Västlig hakmossa
Spillkråka
Revlummer</t>
        </is>
      </c>
      <c r="W3">
        <f>HYPERLINK("https://klasma.github.io/Logging_1482/artfynd/A 36424-2025 artfynd.xlsx", "A 36424-2025")</f>
        <v/>
      </c>
      <c r="X3">
        <f>HYPERLINK("https://klasma.github.io/Logging_1482/kartor/A 36424-2025 karta.png", "A 36424-2025")</f>
        <v/>
      </c>
      <c r="Y3">
        <f>HYPERLINK("https://klasma.github.io/Logging_1482/kartor_geotiff/A 36424-2025 georefererad karta.tif", "A 36424-2025")</f>
        <v/>
      </c>
      <c r="AA3">
        <f>HYPERLINK("https://klasma.github.io/Logging_1482/klagomål/A 36424-2025 FSC-klagomål.docx", "A 36424-2025")</f>
        <v/>
      </c>
      <c r="AB3">
        <f>HYPERLINK("https://klasma.github.io/Logging_1482/klagomålsmail/A 36424-2025 FSC-klagomål mail.docx", "A 36424-2025")</f>
        <v/>
      </c>
      <c r="AC3">
        <f>HYPERLINK("https://klasma.github.io/Logging_1482/tillsyn/A 36424-2025 tillsynsbegäran.docx", "A 36424-2025")</f>
        <v/>
      </c>
      <c r="AD3">
        <f>HYPERLINK("https://klasma.github.io/Logging_1482/tillsynsmail/A 36424-2025 tillsynsbegäran mail.docx", "A 36424-2025")</f>
        <v/>
      </c>
      <c r="AE3">
        <f>HYPERLINK("https://klasma.github.io/Logging_1482/fåglar/A 36424-2025 prioriterade fågelarter.docx", "A 36424-2025")</f>
        <v/>
      </c>
    </row>
    <row r="4" ht="15" customHeight="1">
      <c r="A4" t="inlineStr">
        <is>
          <t>A 34725-2024</t>
        </is>
      </c>
      <c r="B4" t="inlineStr">
        <is>
          <t>avverkningsanmälan</t>
        </is>
      </c>
      <c r="C4" t="inlineStr">
        <is>
          <t>Föryngringsavverkning</t>
        </is>
      </c>
      <c r="D4" s="1" t="n">
        <v>45526</v>
      </c>
      <c r="E4" s="1" t="n">
        <v>46277</v>
      </c>
      <c r="F4" t="inlineStr">
        <is>
          <t>VÄSTRA GÖTALANDS LÄN</t>
        </is>
      </c>
      <c r="G4" t="inlineStr">
        <is>
          <t>KUNGÄLV</t>
        </is>
      </c>
      <c r="I4" t="n">
        <v>14.3</v>
      </c>
      <c r="J4" t="n">
        <v>3</v>
      </c>
      <c r="K4" t="n">
        <v>3</v>
      </c>
      <c r="L4" t="n">
        <v>1</v>
      </c>
      <c r="M4" t="n">
        <v>0</v>
      </c>
      <c r="N4" t="n">
        <v>0</v>
      </c>
      <c r="O4" t="n">
        <v>0</v>
      </c>
      <c r="P4" t="n">
        <v>0</v>
      </c>
      <c r="Q4" t="n">
        <v>1</v>
      </c>
      <c r="R4" t="n">
        <v>0</v>
      </c>
      <c r="S4" t="n">
        <v>6</v>
      </c>
      <c r="T4" t="n">
        <v>16</v>
      </c>
      <c r="U4" t="n">
        <v>15</v>
      </c>
      <c r="V4" s="2" t="inlineStr">
        <is>
          <t>Mindre hackspett
Blåmossa
Stor revmossa
Västlig hakmossa
Spillkråka
Kungsfågel</t>
        </is>
      </c>
      <c r="W4">
        <f>HYPERLINK("https://klasma.github.io/Logging_1482/artfynd/A 34725-2024 artfynd.xlsx", "A 34725-2024")</f>
        <v/>
      </c>
      <c r="X4">
        <f>HYPERLINK("https://klasma.github.io/Logging_1482/kartor/A 34725-2024 karta.png", "A 34725-2024")</f>
        <v/>
      </c>
      <c r="Y4">
        <f>HYPERLINK("https://klasma.github.io/Logging_1482/kartor_geotiff/A 34725-2024 georefererad karta.tif", "A 34725-2024")</f>
        <v/>
      </c>
      <c r="AA4">
        <f>HYPERLINK("https://klasma.github.io/Logging_1482/klagomål/A 34725-2024 FSC-klagomål.docx", "A 34725-2024")</f>
        <v/>
      </c>
      <c r="AB4">
        <f>HYPERLINK("https://klasma.github.io/Logging_1482/klagomålsmail/A 34725-2024 FSC-klagomål mail.docx", "A 34725-2024")</f>
        <v/>
      </c>
      <c r="AC4">
        <f>HYPERLINK("https://klasma.github.io/Logging_1482/tillsyn/A 34725-2024 tillsynsbegäran.docx", "A 34725-2024")</f>
        <v/>
      </c>
      <c r="AD4">
        <f>HYPERLINK("https://klasma.github.io/Logging_1482/tillsynsmail/A 34725-2024 tillsynsbegäran mail.docx", "A 34725-2024")</f>
        <v/>
      </c>
      <c r="AE4">
        <f>HYPERLINK("https://klasma.github.io/Logging_1482/fåglar/A 34725-2024 prioriterade fågelarter.docx", "A 34725-2024")</f>
        <v/>
      </c>
    </row>
    <row r="5" ht="15" customHeight="1">
      <c r="A5" t="inlineStr">
        <is>
          <t>A 45243-2025</t>
        </is>
      </c>
      <c r="B5" t="inlineStr">
        <is>
          <t>avverkningsanmälan</t>
        </is>
      </c>
      <c r="C5" t="inlineStr">
        <is>
          <t>Föryngringsavverkning</t>
        </is>
      </c>
      <c r="D5" s="1" t="n">
        <v>45919</v>
      </c>
      <c r="E5" s="1" t="n">
        <v>46277</v>
      </c>
      <c r="F5" t="inlineStr">
        <is>
          <t>VÄSTRA GÖTALANDS LÄN</t>
        </is>
      </c>
      <c r="G5" t="inlineStr">
        <is>
          <t>KUNGÄLV</t>
        </is>
      </c>
      <c r="I5" t="n">
        <v>8.1</v>
      </c>
      <c r="J5" t="n">
        <v>5</v>
      </c>
      <c r="K5" t="n">
        <v>0</v>
      </c>
      <c r="L5" t="n">
        <v>2</v>
      </c>
      <c r="M5" t="n">
        <v>0</v>
      </c>
      <c r="N5" t="n">
        <v>0</v>
      </c>
      <c r="O5" t="n">
        <v>0</v>
      </c>
      <c r="P5" t="n">
        <v>0</v>
      </c>
      <c r="Q5" t="n">
        <v>2</v>
      </c>
      <c r="R5" t="n">
        <v>0</v>
      </c>
      <c r="S5" t="n">
        <v>5</v>
      </c>
      <c r="T5" t="n">
        <v>9</v>
      </c>
      <c r="U5" t="n">
        <v>0</v>
      </c>
      <c r="V5" s="2" t="inlineStr">
        <is>
          <t>Gulsparv
Nordfladdermus
Större vattensalamander
Mindre vattensalamander
Revlummer</t>
        </is>
      </c>
      <c r="W5">
        <f>HYPERLINK("https://klasma.github.io/Logging_1482/artfynd/A 45243-2025 artfynd.xlsx", "A 45243-2025")</f>
        <v/>
      </c>
      <c r="X5">
        <f>HYPERLINK("https://klasma.github.io/Logging_1482/kartor/A 45243-2025 karta.png", "A 45243-2025")</f>
        <v/>
      </c>
      <c r="Y5">
        <f>HYPERLINK("https://klasma.github.io/Logging_1482/kartor_geotiff/A 45243-2025 georefererad karta.tif", "A 45243-2025")</f>
        <v/>
      </c>
      <c r="AA5">
        <f>HYPERLINK("https://klasma.github.io/Logging_1482/klagomål/A 45243-2025 FSC-klagomål.docx", "A 45243-2025")</f>
        <v/>
      </c>
      <c r="AB5">
        <f>HYPERLINK("https://klasma.github.io/Logging_1482/klagomålsmail/A 45243-2025 FSC-klagomål mail.docx", "A 45243-2025")</f>
        <v/>
      </c>
      <c r="AC5">
        <f>HYPERLINK("https://klasma.github.io/Logging_1482/tillsyn/A 45243-2025 tillsynsbegäran.docx", "A 45243-2025")</f>
        <v/>
      </c>
      <c r="AD5">
        <f>HYPERLINK("https://klasma.github.io/Logging_1482/tillsynsmail/A 45243-2025 tillsynsbegäran mail.docx", "A 45243-2025")</f>
        <v/>
      </c>
      <c r="AE5">
        <f>HYPERLINK("https://klasma.github.io/Logging_1482/fåglar/A 45243-2025 prioriterade fågelarter.docx", "A 45243-2025")</f>
        <v/>
      </c>
    </row>
    <row r="6" ht="15" customHeight="1">
      <c r="A6" t="inlineStr">
        <is>
          <t>A 6041-2025</t>
        </is>
      </c>
      <c r="B6" t="inlineStr">
        <is>
          <t>avverkningsanmälan</t>
        </is>
      </c>
      <c r="C6" t="inlineStr">
        <is>
          <t>Föryngringsavverkning</t>
        </is>
      </c>
      <c r="D6" s="1" t="n">
        <v>45695</v>
      </c>
      <c r="E6" s="1" t="n">
        <v>46277</v>
      </c>
      <c r="F6" t="inlineStr">
        <is>
          <t>VÄSTRA GÖTALANDS LÄN</t>
        </is>
      </c>
      <c r="G6" t="inlineStr">
        <is>
          <t>KUNGÄLV</t>
        </is>
      </c>
      <c r="I6" t="n">
        <v>8.800000000000001</v>
      </c>
      <c r="J6" t="n">
        <v>3</v>
      </c>
      <c r="K6" t="n">
        <v>2</v>
      </c>
      <c r="L6" t="n">
        <v>2</v>
      </c>
      <c r="M6" t="n">
        <v>0</v>
      </c>
      <c r="N6" t="n">
        <v>0</v>
      </c>
      <c r="O6" t="n">
        <v>0</v>
      </c>
      <c r="P6" t="n">
        <v>0</v>
      </c>
      <c r="Q6" t="n">
        <v>2</v>
      </c>
      <c r="R6" t="n">
        <v>0</v>
      </c>
      <c r="S6" t="n">
        <v>5</v>
      </c>
      <c r="T6" t="n">
        <v>10</v>
      </c>
      <c r="U6" t="n">
        <v>10</v>
      </c>
      <c r="V6" s="2" t="inlineStr">
        <is>
          <t>Björktrast
Talltita
Blåmossa
Kambräken
Spillkråka</t>
        </is>
      </c>
      <c r="W6">
        <f>HYPERLINK("https://klasma.github.io/Logging_1482/artfynd/A 6041-2025 artfynd.xlsx", "A 6041-2025")</f>
        <v/>
      </c>
      <c r="X6">
        <f>HYPERLINK("https://klasma.github.io/Logging_1482/kartor/A 6041-2025 karta.png", "A 6041-2025")</f>
        <v/>
      </c>
      <c r="Y6">
        <f>HYPERLINK("https://klasma.github.io/Logging_1482/kartor_geotiff/A 6041-2025 georefererad karta.tif", "A 6041-2025")</f>
        <v/>
      </c>
      <c r="AA6">
        <f>HYPERLINK("https://klasma.github.io/Logging_1482/klagomål/A 6041-2025 FSC-klagomål.docx", "A 6041-2025")</f>
        <v/>
      </c>
      <c r="AB6">
        <f>HYPERLINK("https://klasma.github.io/Logging_1482/klagomålsmail/A 6041-2025 FSC-klagomål mail.docx", "A 6041-2025")</f>
        <v/>
      </c>
      <c r="AC6">
        <f>HYPERLINK("https://klasma.github.io/Logging_1482/tillsyn/A 6041-2025 tillsynsbegäran.docx", "A 6041-2025")</f>
        <v/>
      </c>
      <c r="AD6">
        <f>HYPERLINK("https://klasma.github.io/Logging_1482/tillsynsmail/A 6041-2025 tillsynsbegäran mail.docx", "A 6041-2025")</f>
        <v/>
      </c>
      <c r="AE6">
        <f>HYPERLINK("https://klasma.github.io/Logging_1482/fåglar/A 6041-2025 prioriterade fågelarter.docx", "A 6041-2025")</f>
        <v/>
      </c>
    </row>
    <row r="7" ht="15" customHeight="1">
      <c r="A7" t="inlineStr">
        <is>
          <t>A 59985-2025</t>
        </is>
      </c>
      <c r="B7" t="inlineStr">
        <is>
          <t>avverkningsanmälan</t>
        </is>
      </c>
      <c r="C7" t="inlineStr">
        <is>
          <t>Föryngringsavverkning</t>
        </is>
      </c>
      <c r="D7" s="1" t="n">
        <v>45993</v>
      </c>
      <c r="E7" s="1" t="n">
        <v>46277</v>
      </c>
      <c r="F7" t="inlineStr">
        <is>
          <t>VÄSTRA GÖTALANDS LÄN</t>
        </is>
      </c>
      <c r="G7" t="inlineStr">
        <is>
          <t>KUNGÄLV</t>
        </is>
      </c>
      <c r="I7" t="n">
        <v>5.3</v>
      </c>
      <c r="J7" t="n">
        <v>2</v>
      </c>
      <c r="K7" t="n">
        <v>2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t="n">
        <v>0</v>
      </c>
      <c r="S7" t="n">
        <v>4</v>
      </c>
      <c r="T7" t="n">
        <v>19</v>
      </c>
      <c r="U7" t="n">
        <v>19</v>
      </c>
      <c r="V7" s="2" t="inlineStr">
        <is>
          <t>Blåmossa
Västlig hakmossa
Spillkråka
Äkta lopplummer</t>
        </is>
      </c>
      <c r="W7">
        <f>HYPERLINK("https://klasma.github.io/Logging_1482/artfynd/A 59985-2025 artfynd.xlsx", "A 59985-2025")</f>
        <v/>
      </c>
      <c r="X7">
        <f>HYPERLINK("https://klasma.github.io/Logging_1482/kartor/A 59985-2025 karta.png", "A 59985-2025")</f>
        <v/>
      </c>
      <c r="Y7">
        <f>HYPERLINK("https://klasma.github.io/Logging_1482/kartor_geotiff/A 59985-2025 georefererad karta.tif", "A 59985-2025")</f>
        <v/>
      </c>
      <c r="AA7">
        <f>HYPERLINK("https://klasma.github.io/Logging_1482/klagomål/A 59985-2025 FSC-klagomål.docx", "A 59985-2025")</f>
        <v/>
      </c>
      <c r="AB7">
        <f>HYPERLINK("https://klasma.github.io/Logging_1482/klagomålsmail/A 59985-2025 FSC-klagomål mail.docx", "A 59985-2025")</f>
        <v/>
      </c>
      <c r="AC7">
        <f>HYPERLINK("https://klasma.github.io/Logging_1482/tillsyn/A 59985-2025 tillsynsbegäran.docx", "A 59985-2025")</f>
        <v/>
      </c>
      <c r="AD7">
        <f>HYPERLINK("https://klasma.github.io/Logging_1482/tillsynsmail/A 59985-2025 tillsynsbegäran mail.docx", "A 59985-2025")</f>
        <v/>
      </c>
      <c r="AE7">
        <f>HYPERLINK("https://klasma.github.io/Logging_1482/fåglar/A 59985-2025 prioriterade fågelarter.docx", "A 59985-2025")</f>
        <v/>
      </c>
    </row>
    <row r="8" ht="15" customHeight="1">
      <c r="A8" t="inlineStr">
        <is>
          <t>A 48345-2021</t>
        </is>
      </c>
      <c r="B8" t="inlineStr">
        <is>
          <t>avverkningsanmälan</t>
        </is>
      </c>
      <c r="C8" t="inlineStr">
        <is>
          <t>Föryngringsavverkning</t>
        </is>
      </c>
      <c r="D8" s="1" t="n">
        <v>44451</v>
      </c>
      <c r="E8" s="1" t="n">
        <v>46277</v>
      </c>
      <c r="F8" t="inlineStr">
        <is>
          <t>VÄSTRA GÖTALANDS LÄN</t>
        </is>
      </c>
      <c r="G8" t="inlineStr">
        <is>
          <t>KUNGÄLV</t>
        </is>
      </c>
      <c r="I8" t="n">
        <v>3</v>
      </c>
      <c r="J8" t="n">
        <v>2</v>
      </c>
      <c r="K8" t="n">
        <v>1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t="n">
        <v>0</v>
      </c>
      <c r="S8" t="n">
        <v>3</v>
      </c>
      <c r="T8" t="n">
        <v>3</v>
      </c>
      <c r="U8" t="n">
        <v>3</v>
      </c>
      <c r="V8" s="2" t="inlineStr">
        <is>
          <t>Blåmossa
Spillkråka
Revlummer</t>
        </is>
      </c>
      <c r="W8">
        <f>HYPERLINK("https://klasma.github.io/Logging_1482/artfynd/A 48345-2021 artfynd.xlsx", "A 48345-2021")</f>
        <v/>
      </c>
      <c r="X8">
        <f>HYPERLINK("https://klasma.github.io/Logging_1482/kartor/A 48345-2021 karta.png", "A 48345-2021")</f>
        <v/>
      </c>
      <c r="Y8">
        <f>HYPERLINK("https://klasma.github.io/Logging_1482/kartor_geotiff/A 48345-2021 georefererad karta.tif", "A 48345-2021")</f>
        <v/>
      </c>
      <c r="AA8">
        <f>HYPERLINK("https://klasma.github.io/Logging_1482/klagomål/A 48345-2021 FSC-klagomål.docx", "A 48345-2021")</f>
        <v/>
      </c>
      <c r="AB8">
        <f>HYPERLINK("https://klasma.github.io/Logging_1482/klagomålsmail/A 48345-2021 FSC-klagomål mail.docx", "A 48345-2021")</f>
        <v/>
      </c>
      <c r="AC8">
        <f>HYPERLINK("https://klasma.github.io/Logging_1482/tillsyn/A 48345-2021 tillsynsbegäran.docx", "A 48345-2021")</f>
        <v/>
      </c>
      <c r="AD8">
        <f>HYPERLINK("https://klasma.github.io/Logging_1482/tillsynsmail/A 48345-2021 tillsynsbegäran mail.docx", "A 48345-2021")</f>
        <v/>
      </c>
      <c r="AE8">
        <f>HYPERLINK("https://klasma.github.io/Logging_1482/fåglar/A 48345-2021 prioriterade fågelarter.docx", "A 48345-2021")</f>
        <v/>
      </c>
    </row>
    <row r="9" ht="15" customHeight="1">
      <c r="A9" t="inlineStr">
        <is>
          <t>A 58408-2025</t>
        </is>
      </c>
      <c r="B9" t="inlineStr">
        <is>
          <t>avverkningsanmälan</t>
        </is>
      </c>
      <c r="C9" t="inlineStr">
        <is>
          <t>Föryngringsavverkning</t>
        </is>
      </c>
      <c r="D9" s="1" t="n">
        <v>45985</v>
      </c>
      <c r="E9" s="1" t="n">
        <v>46277</v>
      </c>
      <c r="F9" t="inlineStr">
        <is>
          <t>VÄSTRA GÖTALANDS LÄN</t>
        </is>
      </c>
      <c r="G9" t="inlineStr">
        <is>
          <t>KUNGÄLV</t>
        </is>
      </c>
      <c r="I9" t="n">
        <v>8.1</v>
      </c>
      <c r="J9" t="n">
        <v>2</v>
      </c>
      <c r="K9" t="n">
        <v>0</v>
      </c>
      <c r="L9" t="n">
        <v>1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t="n">
        <v>0</v>
      </c>
      <c r="S9" t="n">
        <v>3</v>
      </c>
      <c r="T9" t="n">
        <v>3</v>
      </c>
      <c r="U9" t="n">
        <v>3</v>
      </c>
      <c r="V9" s="2" t="inlineStr">
        <is>
          <t>Älg
Spillkråka
Revlummer</t>
        </is>
      </c>
      <c r="W9">
        <f>HYPERLINK("https://klasma.github.io/Logging_1482/artfynd/A 58408-2025 artfynd.xlsx", "A 58408-2025")</f>
        <v/>
      </c>
      <c r="X9">
        <f>HYPERLINK("https://klasma.github.io/Logging_1482/kartor/A 58408-2025 karta.png", "A 58408-2025")</f>
        <v/>
      </c>
      <c r="Y9">
        <f>HYPERLINK("https://klasma.github.io/Logging_1482/kartor_geotiff/A 58408-2025 georefererad karta.tif", "A 58408-2025")</f>
        <v/>
      </c>
      <c r="AA9">
        <f>HYPERLINK("https://klasma.github.io/Logging_1482/klagomål/A 58408-2025 FSC-klagomål.docx", "A 58408-2025")</f>
        <v/>
      </c>
      <c r="AB9">
        <f>HYPERLINK("https://klasma.github.io/Logging_1482/klagomålsmail/A 58408-2025 FSC-klagomål mail.docx", "A 58408-2025")</f>
        <v/>
      </c>
      <c r="AC9">
        <f>HYPERLINK("https://klasma.github.io/Logging_1482/tillsyn/A 58408-2025 tillsynsbegäran.docx", "A 58408-2025")</f>
        <v/>
      </c>
      <c r="AD9">
        <f>HYPERLINK("https://klasma.github.io/Logging_1482/tillsynsmail/A 58408-2025 tillsynsbegäran mail.docx", "A 58408-2025")</f>
        <v/>
      </c>
      <c r="AE9">
        <f>HYPERLINK("https://klasma.github.io/Logging_1482/fåglar/A 58408-2025 prioriterade fågelarter.docx", "A 58408-2025")</f>
        <v/>
      </c>
    </row>
    <row r="10" ht="15" customHeight="1">
      <c r="A10" t="inlineStr">
        <is>
          <t>A 29061-2026</t>
        </is>
      </c>
      <c r="B10" t="inlineStr">
        <is>
          <t>avverkningsanmälan</t>
        </is>
      </c>
      <c r="C10" t="inlineStr">
        <is>
          <t>Avverkning för annat ändamål</t>
        </is>
      </c>
      <c r="D10" s="1" t="n">
        <v>46199</v>
      </c>
      <c r="E10" s="1" t="n">
        <v>46277</v>
      </c>
      <c r="F10" t="inlineStr">
        <is>
          <t>VÄSTRA GÖTALANDS LÄN</t>
        </is>
      </c>
      <c r="G10" t="inlineStr">
        <is>
          <t>KUNGÄLV</t>
        </is>
      </c>
      <c r="I10" t="n">
        <v>7.5</v>
      </c>
      <c r="J10" t="n">
        <v>3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t="n">
        <v>0</v>
      </c>
      <c r="S10" t="n">
        <v>3</v>
      </c>
      <c r="T10" t="n">
        <v>4</v>
      </c>
      <c r="U10" t="n">
        <v>0</v>
      </c>
      <c r="V10" s="2" t="inlineStr">
        <is>
          <t>Blåsippa
Spillkråka
Skogsödla</t>
        </is>
      </c>
      <c r="W10">
        <f>HYPERLINK("https://klasma.github.io/Logging_1482/artfynd/A 29061-2026 artfynd.xlsx", "A 29061-2026")</f>
        <v/>
      </c>
      <c r="X10">
        <f>HYPERLINK("https://klasma.github.io/Logging_1482/kartor/A 29061-2026 karta.png", "A 29061-2026")</f>
        <v/>
      </c>
      <c r="Y10">
        <f>HYPERLINK("https://klasma.github.io/Logging_1482/kartor_geotiff/A 29061-2026 georefererad karta.tif", "A 29061-2026")</f>
        <v/>
      </c>
      <c r="AA10">
        <f>HYPERLINK("https://klasma.github.io/Logging_1482/klagomål/A 29061-2026 FSC-klagomål.docx", "A 29061-2026")</f>
        <v/>
      </c>
      <c r="AB10">
        <f>HYPERLINK("https://klasma.github.io/Logging_1482/klagomålsmail/A 29061-2026 FSC-klagomål mail.docx", "A 29061-2026")</f>
        <v/>
      </c>
      <c r="AC10">
        <f>HYPERLINK("https://klasma.github.io/Logging_1482/tillsyn/A 29061-2026 tillsynsbegäran.docx", "A 29061-2026")</f>
        <v/>
      </c>
      <c r="AD10">
        <f>HYPERLINK("https://klasma.github.io/Logging_1482/tillsynsmail/A 29061-2026 tillsynsbegäran mail.docx", "A 29061-2026")</f>
        <v/>
      </c>
      <c r="AE10">
        <f>HYPERLINK("https://klasma.github.io/Logging_1482/fåglar/A 29061-2026 prioriterade fågelarter.docx", "A 29061-2026")</f>
        <v/>
      </c>
    </row>
    <row r="11" ht="15" customHeight="1">
      <c r="A11" t="inlineStr">
        <is>
          <t>A 8558-2024</t>
        </is>
      </c>
      <c r="B11" t="inlineStr">
        <is>
          <t>avverkningsanmälan</t>
        </is>
      </c>
      <c r="C11" t="inlineStr">
        <is>
          <t>Föryngringsavverkning</t>
        </is>
      </c>
      <c r="D11" s="1" t="n">
        <v>45355</v>
      </c>
      <c r="E11" s="1" t="n">
        <v>46277</v>
      </c>
      <c r="F11" t="inlineStr">
        <is>
          <t>VÄSTRA GÖTALANDS LÄN</t>
        </is>
      </c>
      <c r="G11" t="inlineStr">
        <is>
          <t>KUNGÄLV</t>
        </is>
      </c>
      <c r="I11" t="n">
        <v>12.5</v>
      </c>
      <c r="J11" t="n">
        <v>3</v>
      </c>
      <c r="K11" t="n">
        <v>0</v>
      </c>
      <c r="L11" t="n">
        <v>1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t="n">
        <v>0</v>
      </c>
      <c r="S11" t="n">
        <v>3</v>
      </c>
      <c r="T11" t="n">
        <v>3</v>
      </c>
      <c r="U11" t="n">
        <v>3</v>
      </c>
      <c r="V11" s="2" t="inlineStr">
        <is>
          <t>Gulsparv
Spillkråka
Revlummer</t>
        </is>
      </c>
      <c r="W11">
        <f>HYPERLINK("https://klasma.github.io/Logging_1482/artfynd/A 8558-2024 artfynd.xlsx", "A 8558-2024")</f>
        <v/>
      </c>
      <c r="X11">
        <f>HYPERLINK("https://klasma.github.io/Logging_1482/kartor/A 8558-2024 karta.png", "A 8558-2024")</f>
        <v/>
      </c>
      <c r="Y11">
        <f>HYPERLINK("https://klasma.github.io/Logging_1482/kartor_geotiff/A 8558-2024 georefererad karta.tif", "A 8558-2024")</f>
        <v/>
      </c>
      <c r="AA11">
        <f>HYPERLINK("https://klasma.github.io/Logging_1482/klagomål/A 8558-2024 FSC-klagomål.docx", "A 8558-2024")</f>
        <v/>
      </c>
      <c r="AB11">
        <f>HYPERLINK("https://klasma.github.io/Logging_1482/klagomålsmail/A 8558-2024 FSC-klagomål mail.docx", "A 8558-2024")</f>
        <v/>
      </c>
      <c r="AC11">
        <f>HYPERLINK("https://klasma.github.io/Logging_1482/tillsyn/A 8558-2024 tillsynsbegäran.docx", "A 8558-2024")</f>
        <v/>
      </c>
      <c r="AD11">
        <f>HYPERLINK("https://klasma.github.io/Logging_1482/tillsynsmail/A 8558-2024 tillsynsbegäran mail.docx", "A 8558-2024")</f>
        <v/>
      </c>
      <c r="AE11">
        <f>HYPERLINK("https://klasma.github.io/Logging_1482/fåglar/A 8558-2024 prioriterade fågelarter.docx", "A 8558-2024")</f>
        <v/>
      </c>
    </row>
    <row r="12" ht="15" customHeight="1">
      <c r="A12" t="inlineStr">
        <is>
          <t>A 30872-2026</t>
        </is>
      </c>
      <c r="B12" t="inlineStr">
        <is>
          <t>avverkningsanmälan</t>
        </is>
      </c>
      <c r="C12" t="inlineStr">
        <is>
          <t>Föryngringsavverkning</t>
        </is>
      </c>
      <c r="D12" s="1" t="n">
        <v>46212</v>
      </c>
      <c r="E12" s="1" t="n">
        <v>46277</v>
      </c>
      <c r="F12" t="inlineStr">
        <is>
          <t>VÄSTRA GÖTALANDS LÄN</t>
        </is>
      </c>
      <c r="G12" t="inlineStr">
        <is>
          <t>KUNGÄLV</t>
        </is>
      </c>
      <c r="I12" t="n">
        <v>2.4</v>
      </c>
      <c r="J12" t="n">
        <v>1</v>
      </c>
      <c r="K12" t="n">
        <v>2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t="n">
        <v>0</v>
      </c>
      <c r="S12" t="n">
        <v>3</v>
      </c>
      <c r="T12" t="n">
        <v>3</v>
      </c>
      <c r="U12" t="n">
        <v>3</v>
      </c>
      <c r="V12" s="2" t="inlineStr">
        <is>
          <t>Blåmossa
Platt fjädermossa
Spillkråka</t>
        </is>
      </c>
      <c r="W12">
        <f>HYPERLINK("https://klasma.github.io/Logging_1482/artfynd/A 30872-2026 artfynd.xlsx", "A 30872-2026")</f>
        <v/>
      </c>
      <c r="X12">
        <f>HYPERLINK("https://klasma.github.io/Logging_1482/kartor/A 30872-2026 karta.png", "A 30872-2026")</f>
        <v/>
      </c>
      <c r="Y12">
        <f>HYPERLINK("https://klasma.github.io/Logging_1482/kartor_geotiff/A 30872-2026 georefererad karta.tif", "A 30872-2026")</f>
        <v/>
      </c>
      <c r="AA12">
        <f>HYPERLINK("https://klasma.github.io/Logging_1482/klagomål/A 30872-2026 FSC-klagomål.docx", "A 30872-2026")</f>
        <v/>
      </c>
      <c r="AB12">
        <f>HYPERLINK("https://klasma.github.io/Logging_1482/klagomålsmail/A 30872-2026 FSC-klagomål mail.docx", "A 30872-2026")</f>
        <v/>
      </c>
      <c r="AC12">
        <f>HYPERLINK("https://klasma.github.io/Logging_1482/tillsyn/A 30872-2026 tillsynsbegäran.docx", "A 30872-2026")</f>
        <v/>
      </c>
      <c r="AD12">
        <f>HYPERLINK("https://klasma.github.io/Logging_1482/tillsynsmail/A 30872-2026 tillsynsbegäran mail.docx", "A 30872-2026")</f>
        <v/>
      </c>
      <c r="AE12">
        <f>HYPERLINK("https://klasma.github.io/Logging_1482/fåglar/A 30872-2026 prioriterade fågelarter.docx", "A 30872-2026")</f>
        <v/>
      </c>
    </row>
    <row r="13" ht="15" customHeight="1">
      <c r="A13" t="inlineStr">
        <is>
          <t>A 53008-2025</t>
        </is>
      </c>
      <c r="B13" t="inlineStr">
        <is>
          <t>avverkningsanmälan</t>
        </is>
      </c>
      <c r="C13" t="inlineStr">
        <is>
          <t>Föryngringsavverkning</t>
        </is>
      </c>
      <c r="D13" s="1" t="n">
        <v>45957</v>
      </c>
      <c r="E13" s="1" t="n">
        <v>46277</v>
      </c>
      <c r="F13" t="inlineStr">
        <is>
          <t>VÄSTRA GÖTALANDS LÄN</t>
        </is>
      </c>
      <c r="G13" t="inlineStr">
        <is>
          <t>KUNGÄLV</t>
        </is>
      </c>
      <c r="I13" t="n">
        <v>2.9</v>
      </c>
      <c r="J13" t="n">
        <v>1</v>
      </c>
      <c r="K13" t="n">
        <v>2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t="n">
        <v>0</v>
      </c>
      <c r="S13" t="n">
        <v>3</v>
      </c>
      <c r="T13" t="n">
        <v>6</v>
      </c>
      <c r="U13" t="n">
        <v>5</v>
      </c>
      <c r="V13" s="2" t="inlineStr">
        <is>
          <t>Kambräken
Västlig hakmossa
Spillkråka</t>
        </is>
      </c>
      <c r="W13">
        <f>HYPERLINK("https://klasma.github.io/Logging_1482/artfynd/A 53008-2025 artfynd.xlsx", "A 53008-2025")</f>
        <v/>
      </c>
      <c r="X13">
        <f>HYPERLINK("https://klasma.github.io/Logging_1482/kartor/A 53008-2025 karta.png", "A 53008-2025")</f>
        <v/>
      </c>
      <c r="Y13">
        <f>HYPERLINK("https://klasma.github.io/Logging_1482/kartor_geotiff/A 53008-2025 georefererad karta.tif", "A 53008-2025")</f>
        <v/>
      </c>
      <c r="AA13">
        <f>HYPERLINK("https://klasma.github.io/Logging_1482/klagomål/A 53008-2025 FSC-klagomål.docx", "A 53008-2025")</f>
        <v/>
      </c>
      <c r="AB13">
        <f>HYPERLINK("https://klasma.github.io/Logging_1482/klagomålsmail/A 53008-2025 FSC-klagomål mail.docx", "A 53008-2025")</f>
        <v/>
      </c>
      <c r="AC13">
        <f>HYPERLINK("https://klasma.github.io/Logging_1482/tillsyn/A 53008-2025 tillsynsbegäran.docx", "A 53008-2025")</f>
        <v/>
      </c>
      <c r="AD13">
        <f>HYPERLINK("https://klasma.github.io/Logging_1482/tillsynsmail/A 53008-2025 tillsynsbegäran mail.docx", "A 53008-2025")</f>
        <v/>
      </c>
      <c r="AE13">
        <f>HYPERLINK("https://klasma.github.io/Logging_1482/fåglar/A 53008-2025 prioriterade fågelarter.docx", "A 53008-2025")</f>
        <v/>
      </c>
    </row>
    <row r="14" ht="15" customHeight="1">
      <c r="A14" t="inlineStr">
        <is>
          <t>A 56394-2025</t>
        </is>
      </c>
      <c r="B14" t="inlineStr">
        <is>
          <t>avverkningsanmälan</t>
        </is>
      </c>
      <c r="C14" t="inlineStr">
        <is>
          <t>Avverkning för annat ändamål</t>
        </is>
      </c>
      <c r="D14" s="1" t="n">
        <v>45974</v>
      </c>
      <c r="E14" s="1" t="n">
        <v>46277</v>
      </c>
      <c r="F14" t="inlineStr">
        <is>
          <t>VÄSTRA GÖTALANDS LÄN</t>
        </is>
      </c>
      <c r="G14" t="inlineStr">
        <is>
          <t>KUNGÄLV</t>
        </is>
      </c>
      <c r="I14" t="n">
        <v>1.3</v>
      </c>
      <c r="J14" t="n">
        <v>1</v>
      </c>
      <c r="K14" t="n">
        <v>1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t="n">
        <v>0</v>
      </c>
      <c r="S14" t="n">
        <v>2</v>
      </c>
      <c r="T14" t="n">
        <v>2</v>
      </c>
      <c r="U14" t="n">
        <v>0</v>
      </c>
      <c r="V14" s="2" t="inlineStr">
        <is>
          <t>Kambräken
Revlummer</t>
        </is>
      </c>
      <c r="W14">
        <f>HYPERLINK("https://klasma.github.io/Logging_1482/artfynd/A 56394-2025 artfynd.xlsx", "A 56394-2025")</f>
        <v/>
      </c>
      <c r="X14">
        <f>HYPERLINK("https://klasma.github.io/Logging_1482/kartor/A 56394-2025 karta.png", "A 56394-2025")</f>
        <v/>
      </c>
      <c r="Y14">
        <f>HYPERLINK("https://klasma.github.io/Logging_1482/kartor_geotiff/A 56394-2025 georefererad karta.tif", "A 56394-2025")</f>
        <v/>
      </c>
      <c r="AA14">
        <f>HYPERLINK("https://klasma.github.io/Logging_1482/klagomål/A 56394-2025 FSC-klagomål.docx", "A 56394-2025")</f>
        <v/>
      </c>
      <c r="AB14">
        <f>HYPERLINK("https://klasma.github.io/Logging_1482/klagomålsmail/A 56394-2025 FSC-klagomål mail.docx", "A 56394-2025")</f>
        <v/>
      </c>
      <c r="AC14">
        <f>HYPERLINK("https://klasma.github.io/Logging_1482/tillsyn/A 56394-2025 tillsynsbegäran.docx", "A 56394-2025")</f>
        <v/>
      </c>
      <c r="AD14">
        <f>HYPERLINK("https://klasma.github.io/Logging_1482/tillsynsmail/A 56394-2025 tillsynsbegäran mail.docx", "A 56394-2025")</f>
        <v/>
      </c>
    </row>
    <row r="15" ht="15" customHeight="1">
      <c r="A15" t="inlineStr">
        <is>
          <t>A 57116-2025</t>
        </is>
      </c>
      <c r="B15" t="inlineStr">
        <is>
          <t>avverkningsanmälan</t>
        </is>
      </c>
      <c r="C15" t="inlineStr">
        <is>
          <t>Föryngringsavverkning</t>
        </is>
      </c>
      <c r="D15" s="1" t="n">
        <v>45979</v>
      </c>
      <c r="E15" s="1" t="n">
        <v>46277</v>
      </c>
      <c r="F15" t="inlineStr">
        <is>
          <t>VÄSTRA GÖTALANDS LÄN</t>
        </is>
      </c>
      <c r="G15" t="inlineStr">
        <is>
          <t>KUNGÄLV</t>
        </is>
      </c>
      <c r="I15" t="n">
        <v>3.5</v>
      </c>
      <c r="J15" t="n">
        <v>1</v>
      </c>
      <c r="K15" t="n">
        <v>1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t="n">
        <v>0</v>
      </c>
      <c r="S15" t="n">
        <v>2</v>
      </c>
      <c r="T15" t="n">
        <v>3</v>
      </c>
      <c r="U15" t="n">
        <v>3</v>
      </c>
      <c r="V15" s="2" t="inlineStr">
        <is>
          <t>Västlig hakmossa
Spillkråka</t>
        </is>
      </c>
      <c r="W15">
        <f>HYPERLINK("https://klasma.github.io/Logging_1482/artfynd/A 57116-2025 artfynd.xlsx", "A 57116-2025")</f>
        <v/>
      </c>
      <c r="X15">
        <f>HYPERLINK("https://klasma.github.io/Logging_1482/kartor/A 57116-2025 karta.png", "A 57116-2025")</f>
        <v/>
      </c>
      <c r="Y15">
        <f>HYPERLINK("https://klasma.github.io/Logging_1482/kartor_geotiff/A 57116-2025 georefererad karta.tif", "A 57116-2025")</f>
        <v/>
      </c>
      <c r="AA15">
        <f>HYPERLINK("https://klasma.github.io/Logging_1482/klagomål/A 57116-2025 FSC-klagomål.docx", "A 57116-2025")</f>
        <v/>
      </c>
      <c r="AB15">
        <f>HYPERLINK("https://klasma.github.io/Logging_1482/klagomålsmail/A 57116-2025 FSC-klagomål mail.docx", "A 57116-2025")</f>
        <v/>
      </c>
      <c r="AC15">
        <f>HYPERLINK("https://klasma.github.io/Logging_1482/tillsyn/A 57116-2025 tillsynsbegäran.docx", "A 57116-2025")</f>
        <v/>
      </c>
      <c r="AD15">
        <f>HYPERLINK("https://klasma.github.io/Logging_1482/tillsynsmail/A 57116-2025 tillsynsbegäran mail.docx", "A 57116-2025")</f>
        <v/>
      </c>
      <c r="AE15">
        <f>HYPERLINK("https://klasma.github.io/Logging_1482/fåglar/A 57116-2025 prioriterade fågelarter.docx", "A 57116-2025")</f>
        <v/>
      </c>
    </row>
    <row r="16" ht="15" customHeight="1">
      <c r="A16" t="inlineStr">
        <is>
          <t>A 30860-2026</t>
        </is>
      </c>
      <c r="B16" t="inlineStr">
        <is>
          <t>avverkningsanmälan</t>
        </is>
      </c>
      <c r="C16" t="inlineStr">
        <is>
          <t>Föryngringsavverkning</t>
        </is>
      </c>
      <c r="D16" s="1" t="n">
        <v>46212</v>
      </c>
      <c r="E16" s="1" t="n">
        <v>46277</v>
      </c>
      <c r="F16" t="inlineStr">
        <is>
          <t>VÄSTRA GÖTALANDS LÄN</t>
        </is>
      </c>
      <c r="G16" t="inlineStr">
        <is>
          <t>KUNGÄLV</t>
        </is>
      </c>
      <c r="I16" t="n">
        <v>1.7</v>
      </c>
      <c r="J16" t="n">
        <v>1</v>
      </c>
      <c r="K16" t="n">
        <v>1</v>
      </c>
      <c r="L16" t="n">
        <v>1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t="n">
        <v>0</v>
      </c>
      <c r="S16" t="n">
        <v>2</v>
      </c>
      <c r="T16" t="n">
        <v>2</v>
      </c>
      <c r="U16" t="n">
        <v>1</v>
      </c>
      <c r="V16" s="2" t="inlineStr">
        <is>
          <t>Grönsångare
Västlig hakmossa</t>
        </is>
      </c>
      <c r="W16">
        <f>HYPERLINK("https://klasma.github.io/Logging_1482/artfynd/A 30860-2026 artfynd.xlsx", "A 30860-2026")</f>
        <v/>
      </c>
      <c r="X16">
        <f>HYPERLINK("https://klasma.github.io/Logging_1482/kartor/A 30860-2026 karta.png", "A 30860-2026")</f>
        <v/>
      </c>
      <c r="Y16">
        <f>HYPERLINK("https://klasma.github.io/Logging_1482/kartor_geotiff/A 30860-2026 georefererad karta.tif", "A 30860-2026")</f>
        <v/>
      </c>
      <c r="AA16">
        <f>HYPERLINK("https://klasma.github.io/Logging_1482/klagomål/A 30860-2026 FSC-klagomål.docx", "A 30860-2026")</f>
        <v/>
      </c>
      <c r="AB16">
        <f>HYPERLINK("https://klasma.github.io/Logging_1482/klagomålsmail/A 30860-2026 FSC-klagomål mail.docx", "A 30860-2026")</f>
        <v/>
      </c>
      <c r="AC16">
        <f>HYPERLINK("https://klasma.github.io/Logging_1482/tillsyn/A 30860-2026 tillsynsbegäran.docx", "A 30860-2026")</f>
        <v/>
      </c>
      <c r="AD16">
        <f>HYPERLINK("https://klasma.github.io/Logging_1482/tillsynsmail/A 30860-2026 tillsynsbegäran mail.docx", "A 30860-2026")</f>
        <v/>
      </c>
      <c r="AE16">
        <f>HYPERLINK("https://klasma.github.io/Logging_1482/fåglar/A 30860-2026 prioriterade fågelarter.docx", "A 30860-2026")</f>
        <v/>
      </c>
    </row>
    <row r="17" ht="15" customHeight="1">
      <c r="A17" t="inlineStr">
        <is>
          <t>A 53007-2025</t>
        </is>
      </c>
      <c r="B17" t="inlineStr">
        <is>
          <t>avverkningsanmälan</t>
        </is>
      </c>
      <c r="C17" t="inlineStr">
        <is>
          <t>Föryngringsavverkning</t>
        </is>
      </c>
      <c r="D17" s="1" t="n">
        <v>45957</v>
      </c>
      <c r="E17" s="1" t="n">
        <v>46277</v>
      </c>
      <c r="F17" t="inlineStr">
        <is>
          <t>VÄSTRA GÖTALANDS LÄN</t>
        </is>
      </c>
      <c r="G17" t="inlineStr">
        <is>
          <t>KUNGÄLV</t>
        </is>
      </c>
      <c r="I17" t="n">
        <v>2.9</v>
      </c>
      <c r="J17" t="n">
        <v>1</v>
      </c>
      <c r="K17" t="n">
        <v>1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t="n">
        <v>0</v>
      </c>
      <c r="S17" t="n">
        <v>2</v>
      </c>
      <c r="T17" t="n">
        <v>5</v>
      </c>
      <c r="U17" t="n">
        <v>5</v>
      </c>
      <c r="V17" s="2" t="inlineStr">
        <is>
          <t>Västlig hakmossa
Spillkråka</t>
        </is>
      </c>
      <c r="W17">
        <f>HYPERLINK("https://klasma.github.io/Logging_1482/artfynd/A 53007-2025 artfynd.xlsx", "A 53007-2025")</f>
        <v/>
      </c>
      <c r="X17">
        <f>HYPERLINK("https://klasma.github.io/Logging_1482/kartor/A 53007-2025 karta.png", "A 53007-2025")</f>
        <v/>
      </c>
      <c r="Y17">
        <f>HYPERLINK("https://klasma.github.io/Logging_1482/kartor_geotiff/A 53007-2025 georefererad karta.tif", "A 53007-2025")</f>
        <v/>
      </c>
      <c r="AA17">
        <f>HYPERLINK("https://klasma.github.io/Logging_1482/klagomål/A 53007-2025 FSC-klagomål.docx", "A 53007-2025")</f>
        <v/>
      </c>
      <c r="AB17">
        <f>HYPERLINK("https://klasma.github.io/Logging_1482/klagomålsmail/A 53007-2025 FSC-klagomål mail.docx", "A 53007-2025")</f>
        <v/>
      </c>
      <c r="AC17">
        <f>HYPERLINK("https://klasma.github.io/Logging_1482/tillsyn/A 53007-2025 tillsynsbegäran.docx", "A 53007-2025")</f>
        <v/>
      </c>
      <c r="AD17">
        <f>HYPERLINK("https://klasma.github.io/Logging_1482/tillsynsmail/A 53007-2025 tillsynsbegäran mail.docx", "A 53007-2025")</f>
        <v/>
      </c>
      <c r="AE17">
        <f>HYPERLINK("https://klasma.github.io/Logging_1482/fåglar/A 53007-2025 prioriterade fågelarter.docx", "A 53007-2025")</f>
        <v/>
      </c>
    </row>
    <row r="18" ht="15" customHeight="1">
      <c r="A18" t="inlineStr">
        <is>
          <t>A 5631-2024</t>
        </is>
      </c>
      <c r="B18" t="inlineStr">
        <is>
          <t>avverkningsanmälan</t>
        </is>
      </c>
      <c r="C18" t="inlineStr">
        <is>
          <t>Föryngringsavverkning</t>
        </is>
      </c>
      <c r="D18" s="1" t="n">
        <v>45334</v>
      </c>
      <c r="E18" s="1" t="n">
        <v>46277</v>
      </c>
      <c r="F18" t="inlineStr">
        <is>
          <t>VÄSTRA GÖTALANDS LÄN</t>
        </is>
      </c>
      <c r="G18" t="inlineStr">
        <is>
          <t>KUNGÄLV</t>
        </is>
      </c>
      <c r="I18" t="n">
        <v>1.3</v>
      </c>
      <c r="J18" t="n">
        <v>2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t="n">
        <v>0</v>
      </c>
      <c r="S18" t="n">
        <v>2</v>
      </c>
      <c r="T18" t="n">
        <v>2</v>
      </c>
      <c r="U18" t="n">
        <v>1</v>
      </c>
      <c r="V18" s="2" t="inlineStr">
        <is>
          <t>Vanlig groda
Fläcknycklar</t>
        </is>
      </c>
      <c r="W18">
        <f>HYPERLINK("https://klasma.github.io/Logging_1482/artfynd/A 5631-2024 artfynd.xlsx", "A 5631-2024")</f>
        <v/>
      </c>
      <c r="X18">
        <f>HYPERLINK("https://klasma.github.io/Logging_1482/kartor/A 5631-2024 karta.png", "A 5631-2024")</f>
        <v/>
      </c>
      <c r="Y18">
        <f>HYPERLINK("https://klasma.github.io/Logging_1482/kartor_geotiff/A 5631-2024 georefererad karta.tif", "A 5631-2024")</f>
        <v/>
      </c>
      <c r="AA18">
        <f>HYPERLINK("https://klasma.github.io/Logging_1482/klagomål/A 5631-2024 FSC-klagomål.docx", "A 5631-2024")</f>
        <v/>
      </c>
      <c r="AB18">
        <f>HYPERLINK("https://klasma.github.io/Logging_1482/klagomålsmail/A 5631-2024 FSC-klagomål mail.docx", "A 5631-2024")</f>
        <v/>
      </c>
      <c r="AC18">
        <f>HYPERLINK("https://klasma.github.io/Logging_1482/tillsyn/A 5631-2024 tillsynsbegäran.docx", "A 5631-2024")</f>
        <v/>
      </c>
      <c r="AD18">
        <f>HYPERLINK("https://klasma.github.io/Logging_1482/tillsynsmail/A 5631-2024 tillsynsbegäran mail.docx", "A 5631-2024")</f>
        <v/>
      </c>
    </row>
    <row r="19" ht="15" customHeight="1">
      <c r="A19" t="inlineStr">
        <is>
          <t>A 5637-2024</t>
        </is>
      </c>
      <c r="B19" t="inlineStr">
        <is>
          <t>avverkningsanmälan</t>
        </is>
      </c>
      <c r="C19" t="inlineStr">
        <is>
          <t>Föryngringsavverkning</t>
        </is>
      </c>
      <c r="D19" s="1" t="n">
        <v>45334</v>
      </c>
      <c r="E19" s="1" t="n">
        <v>46277</v>
      </c>
      <c r="F19" t="inlineStr">
        <is>
          <t>VÄSTRA GÖTALANDS LÄN</t>
        </is>
      </c>
      <c r="G19" t="inlineStr">
        <is>
          <t>KUNGÄLV</t>
        </is>
      </c>
      <c r="I19" t="n">
        <v>1.8</v>
      </c>
      <c r="J19" t="n">
        <v>0</v>
      </c>
      <c r="K19" t="n">
        <v>0</v>
      </c>
      <c r="L19" t="n">
        <v>2</v>
      </c>
      <c r="M19" t="n">
        <v>0</v>
      </c>
      <c r="N19" t="n">
        <v>0</v>
      </c>
      <c r="O19" t="n">
        <v>0</v>
      </c>
      <c r="P19" t="n">
        <v>0</v>
      </c>
      <c r="Q19" t="n">
        <v>2</v>
      </c>
      <c r="R19" t="n">
        <v>0</v>
      </c>
      <c r="S19" t="n">
        <v>2</v>
      </c>
      <c r="T19" t="n">
        <v>2</v>
      </c>
      <c r="U19" t="n">
        <v>0</v>
      </c>
      <c r="V19" s="2" t="inlineStr">
        <is>
          <t>Klofibbla
Åkerrödtoppa</t>
        </is>
      </c>
      <c r="W19">
        <f>HYPERLINK("https://klasma.github.io/Logging_1482/artfynd/A 5637-2024 artfynd.xlsx", "A 5637-2024")</f>
        <v/>
      </c>
      <c r="X19">
        <f>HYPERLINK("https://klasma.github.io/Logging_1482/kartor/A 5637-2024 karta.png", "A 5637-2024")</f>
        <v/>
      </c>
      <c r="Y19">
        <f>HYPERLINK("https://klasma.github.io/Logging_1482/kartor_geotiff/A 5637-2024 georefererad karta.tif", "A 5637-2024")</f>
        <v/>
      </c>
      <c r="AA19">
        <f>HYPERLINK("https://klasma.github.io/Logging_1482/klagomål/A 5637-2024 FSC-klagomål.docx", "A 5637-2024")</f>
        <v/>
      </c>
      <c r="AB19">
        <f>HYPERLINK("https://klasma.github.io/Logging_1482/klagomålsmail/A 5637-2024 FSC-klagomål mail.docx", "A 5637-2024")</f>
        <v/>
      </c>
      <c r="AC19">
        <f>HYPERLINK("https://klasma.github.io/Logging_1482/tillsyn/A 5637-2024 tillsynsbegäran.docx", "A 5637-2024")</f>
        <v/>
      </c>
      <c r="AD19">
        <f>HYPERLINK("https://klasma.github.io/Logging_1482/tillsynsmail/A 5637-2024 tillsynsbegäran mail.docx", "A 5637-2024")</f>
        <v/>
      </c>
    </row>
    <row r="20" ht="15" customHeight="1">
      <c r="A20" t="inlineStr">
        <is>
          <t>A 49988-2023</t>
        </is>
      </c>
      <c r="B20" t="inlineStr">
        <is>
          <t>avverkningsanmälan</t>
        </is>
      </c>
      <c r="C20" t="inlineStr">
        <is>
          <t>Föryngringsavverkning</t>
        </is>
      </c>
      <c r="D20" s="1" t="n">
        <v>45215</v>
      </c>
      <c r="E20" s="1" t="n">
        <v>46277</v>
      </c>
      <c r="F20" t="inlineStr">
        <is>
          <t>VÄSTRA GÖTALANDS LÄN</t>
        </is>
      </c>
      <c r="G20" t="inlineStr">
        <is>
          <t>KUNGÄLV</t>
        </is>
      </c>
      <c r="I20" t="n">
        <v>2.3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t="n">
        <v>0</v>
      </c>
      <c r="S20" t="n">
        <v>1</v>
      </c>
      <c r="T20" t="n">
        <v>1</v>
      </c>
      <c r="U20" t="n">
        <v>0</v>
      </c>
      <c r="V20" s="2" t="inlineStr">
        <is>
          <t>Revlummer</t>
        </is>
      </c>
      <c r="W20">
        <f>HYPERLINK("https://klasma.github.io/Logging_1482/artfynd/A 49988-2023 artfynd.xlsx", "A 49988-2023")</f>
        <v/>
      </c>
      <c r="X20">
        <f>HYPERLINK("https://klasma.github.io/Logging_1482/kartor/A 49988-2023 karta.png", "A 49988-2023")</f>
        <v/>
      </c>
      <c r="Y20">
        <f>HYPERLINK("https://klasma.github.io/Logging_1482/kartor_geotiff/A 49988-2023 georefererad karta.tif", "A 49988-2023")</f>
        <v/>
      </c>
      <c r="AA20">
        <f>HYPERLINK("https://klasma.github.io/Logging_1482/klagomål/A 49988-2023 FSC-klagomål.docx", "A 49988-2023")</f>
        <v/>
      </c>
      <c r="AB20">
        <f>HYPERLINK("https://klasma.github.io/Logging_1482/klagomålsmail/A 49988-2023 FSC-klagomål mail.docx", "A 49988-2023")</f>
        <v/>
      </c>
      <c r="AC20">
        <f>HYPERLINK("https://klasma.github.io/Logging_1482/tillsyn/A 49988-2023 tillsynsbegäran.docx", "A 49988-2023")</f>
        <v/>
      </c>
      <c r="AD20">
        <f>HYPERLINK("https://klasma.github.io/Logging_1482/tillsynsmail/A 49988-2023 tillsynsbegäran mail.docx", "A 49988-2023")</f>
        <v/>
      </c>
    </row>
    <row r="21" ht="15" customHeight="1">
      <c r="A21" t="inlineStr">
        <is>
          <t>A 30862-2026</t>
        </is>
      </c>
      <c r="B21" t="inlineStr">
        <is>
          <t>avverkningsanmälan</t>
        </is>
      </c>
      <c r="C21" t="inlineStr">
        <is>
          <t>Föryngringsavverkning</t>
        </is>
      </c>
      <c r="D21" s="1" t="n">
        <v>46212</v>
      </c>
      <c r="E21" s="1" t="n">
        <v>46277</v>
      </c>
      <c r="F21" t="inlineStr">
        <is>
          <t>VÄSTRA GÖTALANDS LÄN</t>
        </is>
      </c>
      <c r="G21" t="inlineStr">
        <is>
          <t>KUNGÄLV</t>
        </is>
      </c>
      <c r="I21" t="n">
        <v>1.7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t="n">
        <v>0</v>
      </c>
      <c r="S21" t="n">
        <v>1</v>
      </c>
      <c r="T21" t="n">
        <v>4</v>
      </c>
      <c r="U21" t="n">
        <v>0</v>
      </c>
      <c r="V21" s="2" t="inlineStr">
        <is>
          <t>Grönvit nattviol</t>
        </is>
      </c>
      <c r="W21">
        <f>HYPERLINK("https://klasma.github.io/Logging_1482/artfynd/A 30862-2026 artfynd.xlsx", "A 30862-2026")</f>
        <v/>
      </c>
      <c r="X21">
        <f>HYPERLINK("https://klasma.github.io/Logging_1482/kartor/A 30862-2026 karta.png", "A 30862-2026")</f>
        <v/>
      </c>
      <c r="Y21">
        <f>HYPERLINK("https://klasma.github.io/Logging_1482/kartor_geotiff/A 30862-2026 georefererad karta.tif", "A 30862-2026")</f>
        <v/>
      </c>
      <c r="AA21">
        <f>HYPERLINK("https://klasma.github.io/Logging_1482/klagomål/A 30862-2026 FSC-klagomål.docx", "A 30862-2026")</f>
        <v/>
      </c>
      <c r="AB21">
        <f>HYPERLINK("https://klasma.github.io/Logging_1482/klagomålsmail/A 30862-2026 FSC-klagomål mail.docx", "A 30862-2026")</f>
        <v/>
      </c>
      <c r="AC21">
        <f>HYPERLINK("https://klasma.github.io/Logging_1482/tillsyn/A 30862-2026 tillsynsbegäran.docx", "A 30862-2026")</f>
        <v/>
      </c>
      <c r="AD21">
        <f>HYPERLINK("https://klasma.github.io/Logging_1482/tillsynsmail/A 30862-2026 tillsynsbegäran mail.docx", "A 30862-2026")</f>
        <v/>
      </c>
    </row>
    <row r="22" ht="15" customHeight="1">
      <c r="A22" t="inlineStr">
        <is>
          <t>A 23704-2024</t>
        </is>
      </c>
      <c r="B22" t="inlineStr">
        <is>
          <t>avverkningsanmälan</t>
        </is>
      </c>
      <c r="C22" t="inlineStr">
        <is>
          <t>Föryngringsavverkning</t>
        </is>
      </c>
      <c r="D22" s="1" t="n">
        <v>45454</v>
      </c>
      <c r="E22" s="1" t="n">
        <v>46277</v>
      </c>
      <c r="F22" t="inlineStr">
        <is>
          <t>VÄSTRA GÖTALANDS LÄN</t>
        </is>
      </c>
      <c r="G22" t="inlineStr">
        <is>
          <t>KUNGÄLV</t>
        </is>
      </c>
      <c r="I22" t="n">
        <v>4.9</v>
      </c>
      <c r="J22" t="n">
        <v>1</v>
      </c>
      <c r="K22" t="n">
        <v>0</v>
      </c>
      <c r="L22" t="n">
        <v>0</v>
      </c>
      <c r="M22" t="n">
        <v>1</v>
      </c>
      <c r="N22" t="n">
        <v>0</v>
      </c>
      <c r="O22" t="n">
        <v>0</v>
      </c>
      <c r="P22" t="n">
        <v>0</v>
      </c>
      <c r="Q22" t="n">
        <v>1</v>
      </c>
      <c r="R22" t="n">
        <v>1</v>
      </c>
      <c r="S22" t="n">
        <v>1</v>
      </c>
      <c r="T22" t="n">
        <v>2</v>
      </c>
      <c r="U22" t="n">
        <v>1</v>
      </c>
      <c r="V22" s="2" t="inlineStr">
        <is>
          <t>Hedjohannesört</t>
        </is>
      </c>
      <c r="W22">
        <f>HYPERLINK("https://klasma.github.io/Logging_1482/artfynd/A 23704-2024 artfynd.xlsx", "A 23704-2024")</f>
        <v/>
      </c>
      <c r="X22">
        <f>HYPERLINK("https://klasma.github.io/Logging_1482/kartor/A 23704-2024 karta.png", "A 23704-2024")</f>
        <v/>
      </c>
      <c r="Y22">
        <f>HYPERLINK("https://klasma.github.io/Logging_1482/kartor_geotiff/A 23704-2024 georefererad karta.tif", "A 23704-2024")</f>
        <v/>
      </c>
      <c r="AA22">
        <f>HYPERLINK("https://klasma.github.io/Logging_1482/klagomål/A 23704-2024 FSC-klagomål.docx", "A 23704-2024")</f>
        <v/>
      </c>
      <c r="AB22">
        <f>HYPERLINK("https://klasma.github.io/Logging_1482/klagomålsmail/A 23704-2024 FSC-klagomål mail.docx", "A 23704-2024")</f>
        <v/>
      </c>
      <c r="AC22">
        <f>HYPERLINK("https://klasma.github.io/Logging_1482/tillsyn/A 23704-2024 tillsynsbegäran.docx", "A 23704-2024")</f>
        <v/>
      </c>
      <c r="AD22">
        <f>HYPERLINK("https://klasma.github.io/Logging_1482/tillsynsmail/A 23704-2024 tillsynsbegäran mail.docx", "A 23704-2024")</f>
        <v/>
      </c>
    </row>
    <row r="23" ht="15" customHeight="1">
      <c r="A23" t="inlineStr">
        <is>
          <t>A 6082-2025</t>
        </is>
      </c>
      <c r="B23" t="inlineStr">
        <is>
          <t>avverkningsanmälan</t>
        </is>
      </c>
      <c r="C23" t="inlineStr">
        <is>
          <t>Föryngringsavverkning</t>
        </is>
      </c>
      <c r="D23" s="1" t="n">
        <v>45697</v>
      </c>
      <c r="E23" s="1" t="n">
        <v>46277</v>
      </c>
      <c r="F23" t="inlineStr">
        <is>
          <t>VÄSTRA GÖTALANDS LÄN</t>
        </is>
      </c>
      <c r="G23" t="inlineStr">
        <is>
          <t>KUNGÄLV</t>
        </is>
      </c>
      <c r="I23" t="n">
        <v>2.8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t="n">
        <v>0</v>
      </c>
      <c r="S23" t="n">
        <v>1</v>
      </c>
      <c r="T23" t="n">
        <v>1</v>
      </c>
      <c r="U23" t="n">
        <v>1</v>
      </c>
      <c r="V23" s="2" t="inlineStr">
        <is>
          <t>Spillkråka</t>
        </is>
      </c>
      <c r="W23">
        <f>HYPERLINK("https://klasma.github.io/Logging_1482/artfynd/A 6082-2025 artfynd.xlsx", "A 6082-2025")</f>
        <v/>
      </c>
      <c r="X23">
        <f>HYPERLINK("https://klasma.github.io/Logging_1482/kartor/A 6082-2025 karta.png", "A 6082-2025")</f>
        <v/>
      </c>
      <c r="Y23">
        <f>HYPERLINK("https://klasma.github.io/Logging_1482/kartor_geotiff/A 6082-2025 georefererad karta.tif", "A 6082-2025")</f>
        <v/>
      </c>
      <c r="AA23">
        <f>HYPERLINK("https://klasma.github.io/Logging_1482/klagomål/A 6082-2025 FSC-klagomål.docx", "A 6082-2025")</f>
        <v/>
      </c>
      <c r="AB23">
        <f>HYPERLINK("https://klasma.github.io/Logging_1482/klagomålsmail/A 6082-2025 FSC-klagomål mail.docx", "A 6082-2025")</f>
        <v/>
      </c>
      <c r="AC23">
        <f>HYPERLINK("https://klasma.github.io/Logging_1482/tillsyn/A 6082-2025 tillsynsbegäran.docx", "A 6082-2025")</f>
        <v/>
      </c>
      <c r="AD23">
        <f>HYPERLINK("https://klasma.github.io/Logging_1482/tillsynsmail/A 6082-2025 tillsynsbegäran mail.docx", "A 6082-2025")</f>
        <v/>
      </c>
      <c r="AE23">
        <f>HYPERLINK("https://klasma.github.io/Logging_1482/fåglar/A 6082-2025 prioriterade fågelarter.docx", "A 6082-2025")</f>
        <v/>
      </c>
    </row>
    <row r="24" ht="15" customHeight="1">
      <c r="A24" t="inlineStr">
        <is>
          <t>A 19132-2022</t>
        </is>
      </c>
      <c r="B24" t="inlineStr">
        <is>
          <t>avverkningsanmälan</t>
        </is>
      </c>
      <c r="C24" t="inlineStr">
        <is>
          <t>Föryngringsavverkning</t>
        </is>
      </c>
      <c r="D24" s="1" t="n">
        <v>44691</v>
      </c>
      <c r="E24" s="1" t="n">
        <v>46277</v>
      </c>
      <c r="F24" t="inlineStr">
        <is>
          <t>VÄSTRA GÖTALANDS LÄN</t>
        </is>
      </c>
      <c r="G24" t="inlineStr">
        <is>
          <t>KUNGÄLV</t>
        </is>
      </c>
      <c r="I24" t="n">
        <v>1.3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t="n">
        <v>0</v>
      </c>
      <c r="S24" t="n">
        <v>0</v>
      </c>
      <c r="T24" t="n">
        <v>0</v>
      </c>
      <c r="U24" t="n">
        <v>0</v>
      </c>
      <c r="V24" s="2" t="inlineStr"/>
    </row>
    <row r="25" ht="15" customHeight="1">
      <c r="A25" t="inlineStr">
        <is>
          <t>A 19133-2022</t>
        </is>
      </c>
      <c r="B25" t="inlineStr">
        <is>
          <t>avverkningsanmälan</t>
        </is>
      </c>
      <c r="C25" t="inlineStr">
        <is>
          <t>Föryngringsavverkning</t>
        </is>
      </c>
      <c r="D25" s="1" t="n">
        <v>44691</v>
      </c>
      <c r="E25" s="1" t="n">
        <v>46277</v>
      </c>
      <c r="F25" t="inlineStr">
        <is>
          <t>VÄSTRA GÖTALANDS LÄN</t>
        </is>
      </c>
      <c r="G25" t="inlineStr">
        <is>
          <t>KUNGÄLV</t>
        </is>
      </c>
      <c r="I25" t="n">
        <v>1.3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t="n">
        <v>0</v>
      </c>
      <c r="S25" t="n">
        <v>0</v>
      </c>
      <c r="T25" t="n">
        <v>0</v>
      </c>
      <c r="U25" t="n">
        <v>0</v>
      </c>
      <c r="V25" s="2" t="inlineStr"/>
    </row>
    <row r="26" ht="15" customHeight="1">
      <c r="A26" t="inlineStr">
        <is>
          <t>A 43847-2022</t>
        </is>
      </c>
      <c r="B26" t="inlineStr">
        <is>
          <t>avverkningsanmälan</t>
        </is>
      </c>
      <c r="C26" t="inlineStr">
        <is>
          <t>Föryngringsavverkning</t>
        </is>
      </c>
      <c r="D26" s="1" t="n">
        <v>44838</v>
      </c>
      <c r="E26" s="1" t="n">
        <v>46277</v>
      </c>
      <c r="F26" t="inlineStr">
        <is>
          <t>VÄSTRA GÖTALANDS LÄN</t>
        </is>
      </c>
      <c r="G26" t="inlineStr">
        <is>
          <t>KUNGÄLV</t>
        </is>
      </c>
      <c r="I26" t="n">
        <v>0.6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t="n">
        <v>0</v>
      </c>
      <c r="S26" t="n">
        <v>0</v>
      </c>
      <c r="T26" t="n">
        <v>0</v>
      </c>
      <c r="U26" t="n">
        <v>0</v>
      </c>
      <c r="V26" s="2" t="inlineStr"/>
    </row>
    <row r="27" ht="15" customHeight="1">
      <c r="A27" t="inlineStr">
        <is>
          <t>A 43709-2022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44836</v>
      </c>
      <c r="E27" s="1" t="n">
        <v>46277</v>
      </c>
      <c r="F27" t="inlineStr">
        <is>
          <t>VÄSTRA GÖTALANDS LÄN</t>
        </is>
      </c>
      <c r="G27" t="inlineStr">
        <is>
          <t>KUNGÄLV</t>
        </is>
      </c>
      <c r="I27" t="n">
        <v>3.5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t="n">
        <v>0</v>
      </c>
      <c r="S27" t="n">
        <v>0</v>
      </c>
      <c r="T27" t="n">
        <v>0</v>
      </c>
      <c r="U27" t="n">
        <v>0</v>
      </c>
      <c r="V27" s="2" t="inlineStr"/>
    </row>
    <row r="28" ht="15" customHeight="1">
      <c r="A28" t="inlineStr">
        <is>
          <t>A 50648-2021</t>
        </is>
      </c>
      <c r="B28" t="inlineStr">
        <is>
          <t>avverkningsanmälan</t>
        </is>
      </c>
      <c r="C28" t="inlineStr">
        <is>
          <t>Föryngringsavverkning</t>
        </is>
      </c>
      <c r="D28" s="1" t="n">
        <v>44459</v>
      </c>
      <c r="E28" s="1" t="n">
        <v>46277</v>
      </c>
      <c r="F28" t="inlineStr">
        <is>
          <t>VÄSTRA GÖTALANDS LÄN</t>
        </is>
      </c>
      <c r="G28" t="inlineStr">
        <is>
          <t>KUNGÄLV</t>
        </is>
      </c>
      <c r="I28" t="n">
        <v>1.4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t="n">
        <v>0</v>
      </c>
      <c r="S28" t="n">
        <v>0</v>
      </c>
      <c r="T28" t="n">
        <v>0</v>
      </c>
      <c r="U28" t="n">
        <v>0</v>
      </c>
      <c r="V28" s="2" t="inlineStr"/>
    </row>
    <row r="29" ht="15" customHeight="1">
      <c r="A29" t="inlineStr">
        <is>
          <t>A 50413-2021</t>
        </is>
      </c>
      <c r="B29" t="inlineStr">
        <is>
          <t>avverkningsanmälan</t>
        </is>
      </c>
      <c r="C29" t="inlineStr">
        <is>
          <t>Föryngringsavverkning</t>
        </is>
      </c>
      <c r="D29" s="1" t="n">
        <v>44459</v>
      </c>
      <c r="E29" s="1" t="n">
        <v>46277</v>
      </c>
      <c r="F29" t="inlineStr">
        <is>
          <t>VÄSTRA GÖTALANDS LÄN</t>
        </is>
      </c>
      <c r="G29" t="inlineStr">
        <is>
          <t>KUNGÄLV</t>
        </is>
      </c>
      <c r="I29" t="n">
        <v>3.9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t="n">
        <v>0</v>
      </c>
      <c r="S29" t="n">
        <v>0</v>
      </c>
      <c r="T29" t="n">
        <v>0</v>
      </c>
      <c r="U29" t="n">
        <v>0</v>
      </c>
      <c r="V29" s="2" t="inlineStr"/>
    </row>
    <row r="30" ht="15" customHeight="1">
      <c r="A30" t="inlineStr">
        <is>
          <t>A 30322-2022</t>
        </is>
      </c>
      <c r="B30" t="inlineStr">
        <is>
          <t>avverkningsanmälan</t>
        </is>
      </c>
      <c r="C30" t="inlineStr">
        <is>
          <t>Föryngringsavverkning</t>
        </is>
      </c>
      <c r="D30" s="1" t="n">
        <v>44760</v>
      </c>
      <c r="E30" s="1" t="n">
        <v>46277</v>
      </c>
      <c r="F30" t="inlineStr">
        <is>
          <t>VÄSTRA GÖTALANDS LÄN</t>
        </is>
      </c>
      <c r="G30" t="inlineStr">
        <is>
          <t>KUNGÄLV</t>
        </is>
      </c>
      <c r="I30" t="n">
        <v>1.9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t="n">
        <v>0</v>
      </c>
      <c r="S30" t="n">
        <v>0</v>
      </c>
      <c r="T30" t="n">
        <v>0</v>
      </c>
      <c r="U30" t="n">
        <v>0</v>
      </c>
      <c r="V30" s="2" t="inlineStr"/>
    </row>
    <row r="31" ht="15" customHeight="1">
      <c r="A31" t="inlineStr">
        <is>
          <t>A 30373-2022</t>
        </is>
      </c>
      <c r="B31" t="inlineStr">
        <is>
          <t>avverkningsanmälan</t>
        </is>
      </c>
      <c r="C31" t="inlineStr">
        <is>
          <t>Föryngringsavverkning</t>
        </is>
      </c>
      <c r="D31" s="1" t="n">
        <v>44760</v>
      </c>
      <c r="E31" s="1" t="n">
        <v>46277</v>
      </c>
      <c r="F31" t="inlineStr">
        <is>
          <t>VÄSTRA GÖTALANDS LÄN</t>
        </is>
      </c>
      <c r="G31" t="inlineStr">
        <is>
          <t>KUNGÄLV</t>
        </is>
      </c>
      <c r="I31" t="n">
        <v>0.8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t="n">
        <v>0</v>
      </c>
      <c r="S31" t="n">
        <v>0</v>
      </c>
      <c r="T31" t="n">
        <v>0</v>
      </c>
      <c r="U31" t="n">
        <v>0</v>
      </c>
      <c r="V31" s="2" t="inlineStr"/>
    </row>
    <row r="32" ht="15" customHeight="1">
      <c r="A32" t="inlineStr">
        <is>
          <t>A 30377-2022</t>
        </is>
      </c>
      <c r="B32" t="inlineStr">
        <is>
          <t>avverkningsanmälan</t>
        </is>
      </c>
      <c r="C32" t="inlineStr">
        <is>
          <t>Föryngringsavverkning</t>
        </is>
      </c>
      <c r="D32" s="1" t="n">
        <v>44760</v>
      </c>
      <c r="E32" s="1" t="n">
        <v>46277</v>
      </c>
      <c r="F32" t="inlineStr">
        <is>
          <t>VÄSTRA GÖTALANDS LÄN</t>
        </is>
      </c>
      <c r="G32" t="inlineStr">
        <is>
          <t>KUNGÄLV</t>
        </is>
      </c>
      <c r="I32" t="n">
        <v>0.6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t="n">
        <v>0</v>
      </c>
      <c r="S32" t="n">
        <v>0</v>
      </c>
      <c r="T32" t="n">
        <v>0</v>
      </c>
      <c r="U32" t="n">
        <v>0</v>
      </c>
      <c r="V32" s="2" t="inlineStr"/>
    </row>
    <row r="33" ht="15" customHeight="1">
      <c r="A33" t="inlineStr">
        <is>
          <t>A 62221-2023</t>
        </is>
      </c>
      <c r="B33" t="inlineStr">
        <is>
          <t>avverkningsanmälan</t>
        </is>
      </c>
      <c r="C33" t="inlineStr">
        <is>
          <t>Föryngringsavverkning</t>
        </is>
      </c>
      <c r="D33" s="1" t="n">
        <v>45267</v>
      </c>
      <c r="E33" s="1" t="n">
        <v>46277</v>
      </c>
      <c r="F33" t="inlineStr">
        <is>
          <t>VÄSTRA GÖTALANDS LÄN</t>
        </is>
      </c>
      <c r="G33" t="inlineStr">
        <is>
          <t>KUNGÄLV</t>
        </is>
      </c>
      <c r="I33" t="n">
        <v>1.3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t="n">
        <v>0</v>
      </c>
      <c r="S33" t="n">
        <v>0</v>
      </c>
      <c r="T33" t="n">
        <v>0</v>
      </c>
      <c r="U33" t="n">
        <v>0</v>
      </c>
      <c r="V33" s="2" t="inlineStr"/>
    </row>
    <row r="34" ht="15" customHeight="1">
      <c r="A34" t="inlineStr">
        <is>
          <t>A 4204-2024</t>
        </is>
      </c>
      <c r="B34" t="inlineStr">
        <is>
          <t>avverkningsanmälan</t>
        </is>
      </c>
      <c r="C34" t="inlineStr">
        <is>
          <t>Föryngringsavverkning</t>
        </is>
      </c>
      <c r="D34" s="1" t="n">
        <v>45324</v>
      </c>
      <c r="E34" s="1" t="n">
        <v>46277</v>
      </c>
      <c r="F34" t="inlineStr">
        <is>
          <t>VÄSTRA GÖTALANDS LÄN</t>
        </is>
      </c>
      <c r="G34" t="inlineStr">
        <is>
          <t>KUNGÄLV</t>
        </is>
      </c>
      <c r="I34" t="n">
        <v>4.4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t="n">
        <v>0</v>
      </c>
      <c r="S34" t="n">
        <v>0</v>
      </c>
      <c r="T34" t="n">
        <v>0</v>
      </c>
      <c r="U34" t="n">
        <v>0</v>
      </c>
      <c r="V34" s="2" t="inlineStr"/>
    </row>
    <row r="35" ht="15" customHeight="1">
      <c r="A35" t="inlineStr">
        <is>
          <t>A 30170-2022</t>
        </is>
      </c>
      <c r="B35" t="inlineStr">
        <is>
          <t>avverkningsanmälan</t>
        </is>
      </c>
      <c r="C35" t="inlineStr">
        <is>
          <t>Föryngringsavverkning</t>
        </is>
      </c>
      <c r="D35" s="1" t="n">
        <v>44757</v>
      </c>
      <c r="E35" s="1" t="n">
        <v>46277</v>
      </c>
      <c r="F35" t="inlineStr">
        <is>
          <t>VÄSTRA GÖTALANDS LÄN</t>
        </is>
      </c>
      <c r="G35" t="inlineStr">
        <is>
          <t>KUNGÄLV</t>
        </is>
      </c>
      <c r="I35" t="n">
        <v>3.1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t="n">
        <v>0</v>
      </c>
      <c r="S35" t="n">
        <v>0</v>
      </c>
      <c r="T35" t="n">
        <v>0</v>
      </c>
      <c r="U35" t="n">
        <v>0</v>
      </c>
      <c r="V35" s="2" t="inlineStr"/>
    </row>
    <row r="36" ht="15" customHeight="1">
      <c r="A36" t="inlineStr">
        <is>
          <t>A 13880-2024</t>
        </is>
      </c>
      <c r="B36" t="inlineStr">
        <is>
          <t>avverkningsanmälan</t>
        </is>
      </c>
      <c r="C36" t="inlineStr">
        <is>
          <t>Föryngringsavverkning</t>
        </is>
      </c>
      <c r="D36" s="1" t="n">
        <v>45391</v>
      </c>
      <c r="E36" s="1" t="n">
        <v>46277</v>
      </c>
      <c r="F36" t="inlineStr">
        <is>
          <t>VÄSTRA GÖTALANDS LÄN</t>
        </is>
      </c>
      <c r="G36" t="inlineStr">
        <is>
          <t>KUNGÄLV</t>
        </is>
      </c>
      <c r="I36" t="n">
        <v>2.4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t="n">
        <v>0</v>
      </c>
      <c r="S36" t="n">
        <v>0</v>
      </c>
      <c r="T36" t="n">
        <v>0</v>
      </c>
      <c r="U36" t="n">
        <v>0</v>
      </c>
      <c r="V36" s="2" t="inlineStr"/>
    </row>
    <row r="37" ht="15" customHeight="1">
      <c r="A37" t="inlineStr">
        <is>
          <t>A 1995-2024</t>
        </is>
      </c>
      <c r="B37" t="inlineStr">
        <is>
          <t>avverkningsanmälan</t>
        </is>
      </c>
      <c r="C37" t="inlineStr">
        <is>
          <t>Föryngringsavverkning</t>
        </is>
      </c>
      <c r="D37" s="1" t="n">
        <v>45308</v>
      </c>
      <c r="E37" s="1" t="n">
        <v>46277</v>
      </c>
      <c r="F37" t="inlineStr">
        <is>
          <t>VÄSTRA GÖTALANDS LÄN</t>
        </is>
      </c>
      <c r="G37" t="inlineStr">
        <is>
          <t>KUNGÄLV</t>
        </is>
      </c>
      <c r="I37" t="n">
        <v>0.5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t="n">
        <v>0</v>
      </c>
      <c r="S37" t="n">
        <v>0</v>
      </c>
      <c r="T37" t="n">
        <v>0</v>
      </c>
      <c r="U37" t="n">
        <v>0</v>
      </c>
      <c r="V37" s="2" t="inlineStr"/>
    </row>
    <row r="38" ht="15" customHeight="1">
      <c r="A38" t="inlineStr">
        <is>
          <t>A 45990-2022</t>
        </is>
      </c>
      <c r="B38" t="inlineStr">
        <is>
          <t>avverkningsanmälan</t>
        </is>
      </c>
      <c r="C38" t="inlineStr">
        <is>
          <t>Föryngringsavverkning</t>
        </is>
      </c>
      <c r="D38" s="1" t="n">
        <v>44846</v>
      </c>
      <c r="E38" s="1" t="n">
        <v>46277</v>
      </c>
      <c r="F38" t="inlineStr">
        <is>
          <t>VÄSTRA GÖTALANDS LÄN</t>
        </is>
      </c>
      <c r="G38" t="inlineStr">
        <is>
          <t>KUNGÄLV</t>
        </is>
      </c>
      <c r="I38" t="n">
        <v>3.3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t="n">
        <v>0</v>
      </c>
      <c r="S38" t="n">
        <v>0</v>
      </c>
      <c r="T38" t="n">
        <v>0</v>
      </c>
      <c r="U38" t="n">
        <v>0</v>
      </c>
      <c r="V38" s="2" t="inlineStr"/>
    </row>
    <row r="39" ht="15" customHeight="1">
      <c r="A39" t="inlineStr">
        <is>
          <t>A 43520-2022</t>
        </is>
      </c>
      <c r="B39" t="inlineStr">
        <is>
          <t>avverkningsanmälan</t>
        </is>
      </c>
      <c r="C39" t="inlineStr">
        <is>
          <t>Föryngringsavverkning</t>
        </is>
      </c>
      <c r="D39" s="1" t="n">
        <v>44837</v>
      </c>
      <c r="E39" s="1" t="n">
        <v>46277</v>
      </c>
      <c r="F39" t="inlineStr">
        <is>
          <t>VÄSTRA GÖTALANDS LÄN</t>
        </is>
      </c>
      <c r="G39" t="inlineStr">
        <is>
          <t>KUNGÄLV</t>
        </is>
      </c>
      <c r="I39" t="n">
        <v>1.5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t="n">
        <v>0</v>
      </c>
      <c r="S39" t="n">
        <v>0</v>
      </c>
      <c r="T39" t="n">
        <v>0</v>
      </c>
      <c r="U39" t="n">
        <v>0</v>
      </c>
      <c r="V39" s="2" t="inlineStr"/>
    </row>
    <row r="40" ht="15" customHeight="1">
      <c r="A40" t="inlineStr">
        <is>
          <t>A 29223-2024</t>
        </is>
      </c>
      <c r="B40" t="inlineStr">
        <is>
          <t>avverkningsanmälan</t>
        </is>
      </c>
      <c r="C40" t="inlineStr">
        <is>
          <t>Föryngringsavverkning</t>
        </is>
      </c>
      <c r="D40" s="1" t="n">
        <v>45482</v>
      </c>
      <c r="E40" s="1" t="n">
        <v>46277</v>
      </c>
      <c r="F40" t="inlineStr">
        <is>
          <t>VÄSTRA GÖTALANDS LÄN</t>
        </is>
      </c>
      <c r="G40" t="inlineStr">
        <is>
          <t>KUNGÄLV</t>
        </is>
      </c>
      <c r="I40" t="n">
        <v>5.6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t="n">
        <v>0</v>
      </c>
      <c r="S40" t="n">
        <v>0</v>
      </c>
      <c r="T40" t="n">
        <v>0</v>
      </c>
      <c r="U40" t="n">
        <v>0</v>
      </c>
      <c r="V40" s="2" t="inlineStr"/>
    </row>
    <row r="41" ht="15" customHeight="1">
      <c r="A41" t="inlineStr">
        <is>
          <t>A 17922-2025</t>
        </is>
      </c>
      <c r="B41" t="inlineStr">
        <is>
          <t>avverkningsanmälan</t>
        </is>
      </c>
      <c r="C41" t="inlineStr">
        <is>
          <t>Föryngringsavverkning</t>
        </is>
      </c>
      <c r="D41" s="1" t="n">
        <v>45758</v>
      </c>
      <c r="E41" s="1" t="n">
        <v>46277</v>
      </c>
      <c r="F41" t="inlineStr">
        <is>
          <t>VÄSTRA GÖTALANDS LÄN</t>
        </is>
      </c>
      <c r="G41" t="inlineStr">
        <is>
          <t>KUNGÄLV</t>
        </is>
      </c>
      <c r="I41" t="n">
        <v>0.8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t="n">
        <v>0</v>
      </c>
      <c r="S41" t="n">
        <v>0</v>
      </c>
      <c r="T41" t="n">
        <v>0</v>
      </c>
      <c r="U41" t="n">
        <v>0</v>
      </c>
      <c r="V41" s="2" t="inlineStr"/>
    </row>
    <row r="42" ht="15" customHeight="1">
      <c r="A42" t="inlineStr">
        <is>
          <t>A 8334-2023</t>
        </is>
      </c>
      <c r="B42" t="inlineStr">
        <is>
          <t>avverkningsanmälan</t>
        </is>
      </c>
      <c r="C42" t="inlineStr">
        <is>
          <t>Föryngringsavverkning</t>
        </is>
      </c>
      <c r="D42" s="1" t="n">
        <v>44975</v>
      </c>
      <c r="E42" s="1" t="n">
        <v>46277</v>
      </c>
      <c r="F42" t="inlineStr">
        <is>
          <t>VÄSTRA GÖTALANDS LÄN</t>
        </is>
      </c>
      <c r="G42" t="inlineStr">
        <is>
          <t>KUNGÄLV</t>
        </is>
      </c>
      <c r="I42" t="n">
        <v>1.8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t="n">
        <v>0</v>
      </c>
      <c r="S42" t="n">
        <v>0</v>
      </c>
      <c r="T42" t="n">
        <v>0</v>
      </c>
      <c r="U42" t="n">
        <v>0</v>
      </c>
      <c r="V42" s="2" t="inlineStr"/>
    </row>
    <row r="43" ht="15" customHeight="1">
      <c r="A43" t="inlineStr">
        <is>
          <t>A 40951-2025</t>
        </is>
      </c>
      <c r="B43" t="inlineStr">
        <is>
          <t>avverkningsanmälan</t>
        </is>
      </c>
      <c r="C43" t="inlineStr">
        <is>
          <t>Föryngringsavverkning</t>
        </is>
      </c>
      <c r="D43" s="1" t="n">
        <v>45897</v>
      </c>
      <c r="E43" s="1" t="n">
        <v>46277</v>
      </c>
      <c r="F43" t="inlineStr">
        <is>
          <t>VÄSTRA GÖTALANDS LÄN</t>
        </is>
      </c>
      <c r="G43" t="inlineStr">
        <is>
          <t>KUNGÄLV</t>
        </is>
      </c>
      <c r="I43" t="n">
        <v>0.8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t="n">
        <v>0</v>
      </c>
      <c r="S43" t="n">
        <v>0</v>
      </c>
      <c r="T43" t="n">
        <v>0</v>
      </c>
      <c r="U43" t="n">
        <v>0</v>
      </c>
      <c r="V43" s="2" t="inlineStr"/>
    </row>
    <row r="44" ht="15" customHeight="1">
      <c r="A44" t="inlineStr">
        <is>
          <t>A 34244-2025</t>
        </is>
      </c>
      <c r="B44" t="inlineStr">
        <is>
          <t>avverkningsanmälan</t>
        </is>
      </c>
      <c r="C44" t="inlineStr">
        <is>
          <t>Föryngringsavverkning</t>
        </is>
      </c>
      <c r="D44" s="1" t="n">
        <v>45844</v>
      </c>
      <c r="E44" s="1" t="n">
        <v>46277</v>
      </c>
      <c r="F44" t="inlineStr">
        <is>
          <t>VÄSTRA GÖTALANDS LÄN</t>
        </is>
      </c>
      <c r="G44" t="inlineStr">
        <is>
          <t>KUNGÄLV</t>
        </is>
      </c>
      <c r="I44" t="n">
        <v>2.9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t="n">
        <v>0</v>
      </c>
      <c r="S44" t="n">
        <v>0</v>
      </c>
      <c r="T44" t="n">
        <v>0</v>
      </c>
      <c r="U44" t="n">
        <v>0</v>
      </c>
      <c r="V44" s="2" t="inlineStr"/>
    </row>
    <row r="45" ht="15" customHeight="1">
      <c r="A45" t="inlineStr">
        <is>
          <t>A 25624-2025</t>
        </is>
      </c>
      <c r="B45" t="inlineStr">
        <is>
          <t>avverkningsanmälan</t>
        </is>
      </c>
      <c r="C45" t="inlineStr">
        <is>
          <t>Föryngringsavverkning</t>
        </is>
      </c>
      <c r="D45" s="1" t="n">
        <v>45803</v>
      </c>
      <c r="E45" s="1" t="n">
        <v>46277</v>
      </c>
      <c r="F45" t="inlineStr">
        <is>
          <t>VÄSTRA GÖTALANDS LÄN</t>
        </is>
      </c>
      <c r="G45" t="inlineStr">
        <is>
          <t>KUNGÄLV</t>
        </is>
      </c>
      <c r="I45" t="n">
        <v>5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t="n">
        <v>0</v>
      </c>
      <c r="S45" t="n">
        <v>0</v>
      </c>
      <c r="T45" t="n">
        <v>0</v>
      </c>
      <c r="U45" t="n">
        <v>0</v>
      </c>
      <c r="V45" s="2" t="inlineStr"/>
    </row>
    <row r="46" ht="15" customHeight="1">
      <c r="A46" t="inlineStr">
        <is>
          <t>A 41442-2025</t>
        </is>
      </c>
      <c r="B46" t="inlineStr">
        <is>
          <t>avverkningsanmälan</t>
        </is>
      </c>
      <c r="C46" t="inlineStr">
        <is>
          <t>Föryngringsavverkning</t>
        </is>
      </c>
      <c r="D46" s="1" t="n">
        <v>45869</v>
      </c>
      <c r="E46" s="1" t="n">
        <v>46277</v>
      </c>
      <c r="F46" t="inlineStr">
        <is>
          <t>VÄSTRA GÖTALANDS LÄN</t>
        </is>
      </c>
      <c r="G46" t="inlineStr">
        <is>
          <t>KUNGÄLV</t>
        </is>
      </c>
      <c r="I46" t="n">
        <v>1.8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t="n">
        <v>0</v>
      </c>
      <c r="S46" t="n">
        <v>0</v>
      </c>
      <c r="T46" t="n">
        <v>0</v>
      </c>
      <c r="U46" t="n">
        <v>0</v>
      </c>
      <c r="V46" s="2" t="inlineStr"/>
    </row>
    <row r="47" ht="15" customHeight="1">
      <c r="A47" t="inlineStr">
        <is>
          <t>A 45124-2025</t>
        </is>
      </c>
      <c r="B47" t="inlineStr">
        <is>
          <t>avverkningsanmälan</t>
        </is>
      </c>
      <c r="C47" t="inlineStr">
        <is>
          <t>Föryngringsavverkning</t>
        </is>
      </c>
      <c r="D47" s="1" t="n">
        <v>45919</v>
      </c>
      <c r="E47" s="1" t="n">
        <v>46277</v>
      </c>
      <c r="F47" t="inlineStr">
        <is>
          <t>VÄSTRA GÖTALANDS LÄN</t>
        </is>
      </c>
      <c r="G47" t="inlineStr">
        <is>
          <t>KUNGÄLV</t>
        </is>
      </c>
      <c r="I47" t="n">
        <v>3.7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t="n">
        <v>0</v>
      </c>
      <c r="S47" t="n">
        <v>0</v>
      </c>
      <c r="T47" t="n">
        <v>0</v>
      </c>
      <c r="U47" t="n">
        <v>0</v>
      </c>
      <c r="V47" s="2" t="inlineStr"/>
    </row>
    <row r="48" ht="15" customHeight="1">
      <c r="A48" t="inlineStr">
        <is>
          <t>A 4262-2024</t>
        </is>
      </c>
      <c r="B48" t="inlineStr">
        <is>
          <t>avverkningsanmälan</t>
        </is>
      </c>
      <c r="C48" t="inlineStr">
        <is>
          <t>Föryngringsavverkning</t>
        </is>
      </c>
      <c r="D48" s="1" t="n">
        <v>45324</v>
      </c>
      <c r="E48" s="1" t="n">
        <v>46277</v>
      </c>
      <c r="F48" t="inlineStr">
        <is>
          <t>VÄSTRA GÖTALANDS LÄN</t>
        </is>
      </c>
      <c r="G48" t="inlineStr">
        <is>
          <t>KUNGÄLV</t>
        </is>
      </c>
      <c r="I48" t="n">
        <v>14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t="n">
        <v>0</v>
      </c>
      <c r="S48" t="n">
        <v>0</v>
      </c>
      <c r="T48" t="n">
        <v>0</v>
      </c>
      <c r="U48" t="n">
        <v>0</v>
      </c>
      <c r="V48" s="2" t="inlineStr"/>
    </row>
    <row r="49" ht="15" customHeight="1">
      <c r="A49" t="inlineStr">
        <is>
          <t>A 47564-2025</t>
        </is>
      </c>
      <c r="B49" t="inlineStr">
        <is>
          <t>avverkningsanmälan</t>
        </is>
      </c>
      <c r="C49" t="inlineStr">
        <is>
          <t>Föryngringsavverkning</t>
        </is>
      </c>
      <c r="D49" s="1" t="n">
        <v>45931</v>
      </c>
      <c r="E49" s="1" t="n">
        <v>46277</v>
      </c>
      <c r="F49" t="inlineStr">
        <is>
          <t>VÄSTRA GÖTALANDS LÄN</t>
        </is>
      </c>
      <c r="G49" t="inlineStr">
        <is>
          <t>KUNGÄLV</t>
        </is>
      </c>
      <c r="I49" t="n">
        <v>2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t="n">
        <v>0</v>
      </c>
      <c r="S49" t="n">
        <v>0</v>
      </c>
      <c r="T49" t="n">
        <v>0</v>
      </c>
      <c r="U49" t="n">
        <v>0</v>
      </c>
      <c r="V49" s="2" t="inlineStr"/>
    </row>
    <row r="50" ht="15" customHeight="1">
      <c r="A50" t="inlineStr">
        <is>
          <t>A 37443-2025</t>
        </is>
      </c>
      <c r="B50" t="inlineStr">
        <is>
          <t>avverkningsanmälan</t>
        </is>
      </c>
      <c r="C50" t="inlineStr">
        <is>
          <t>Föryngringsavverkning</t>
        </is>
      </c>
      <c r="D50" s="1" t="n">
        <v>45877</v>
      </c>
      <c r="E50" s="1" t="n">
        <v>46277</v>
      </c>
      <c r="F50" t="inlineStr">
        <is>
          <t>VÄSTRA GÖTALANDS LÄN</t>
        </is>
      </c>
      <c r="G50" t="inlineStr">
        <is>
          <t>KUNGÄLV</t>
        </is>
      </c>
      <c r="H50" t="inlineStr">
        <is>
          <t>Kyrkan</t>
        </is>
      </c>
      <c r="I50" t="n">
        <v>0.7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t="n">
        <v>0</v>
      </c>
      <c r="S50" t="n">
        <v>0</v>
      </c>
      <c r="T50" t="n">
        <v>0</v>
      </c>
      <c r="U50" t="n">
        <v>0</v>
      </c>
      <c r="V50" s="2" t="inlineStr"/>
    </row>
    <row r="51" ht="15" customHeight="1">
      <c r="A51" t="inlineStr">
        <is>
          <t>A 661-2025</t>
        </is>
      </c>
      <c r="B51" t="inlineStr">
        <is>
          <t>avverkningsanmälan</t>
        </is>
      </c>
      <c r="C51" t="inlineStr">
        <is>
          <t>Föryngringsavverkning</t>
        </is>
      </c>
      <c r="D51" s="1" t="n">
        <v>45664</v>
      </c>
      <c r="E51" s="1" t="n">
        <v>46277</v>
      </c>
      <c r="F51" t="inlineStr">
        <is>
          <t>VÄSTRA GÖTALANDS LÄN</t>
        </is>
      </c>
      <c r="G51" t="inlineStr">
        <is>
          <t>KUNGÄLV</t>
        </is>
      </c>
      <c r="I51" t="n">
        <v>3.1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t="n">
        <v>0</v>
      </c>
      <c r="S51" t="n">
        <v>0</v>
      </c>
      <c r="T51" t="n">
        <v>0</v>
      </c>
      <c r="U51" t="n">
        <v>0</v>
      </c>
      <c r="V51" s="2" t="inlineStr"/>
    </row>
    <row r="52" ht="15" customHeight="1">
      <c r="A52" t="inlineStr">
        <is>
          <t>A 13990-2026</t>
        </is>
      </c>
      <c r="B52" t="inlineStr">
        <is>
          <t>avverkningsanmälan</t>
        </is>
      </c>
      <c r="C52" t="inlineStr">
        <is>
          <t>Föryngringsavverkning</t>
        </is>
      </c>
      <c r="D52" s="1" t="n">
        <v>46098</v>
      </c>
      <c r="E52" s="1" t="n">
        <v>46277</v>
      </c>
      <c r="F52" t="inlineStr">
        <is>
          <t>VÄSTRA GÖTALANDS LÄN</t>
        </is>
      </c>
      <c r="G52" t="inlineStr">
        <is>
          <t>KUNGÄLV</t>
        </is>
      </c>
      <c r="I52" t="n">
        <v>2.6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t="n">
        <v>0</v>
      </c>
      <c r="S52" t="n">
        <v>0</v>
      </c>
      <c r="T52" t="n">
        <v>0</v>
      </c>
      <c r="U52" t="n">
        <v>0</v>
      </c>
      <c r="V52" s="2" t="inlineStr"/>
    </row>
    <row r="53" ht="15" customHeight="1">
      <c r="A53" t="inlineStr">
        <is>
          <t>A 52932-2025</t>
        </is>
      </c>
      <c r="B53" t="inlineStr">
        <is>
          <t>avverkningsanmälan</t>
        </is>
      </c>
      <c r="C53" t="inlineStr">
        <is>
          <t>Föryngringsavverkning</t>
        </is>
      </c>
      <c r="D53" s="1" t="n">
        <v>45957</v>
      </c>
      <c r="E53" s="1" t="n">
        <v>46277</v>
      </c>
      <c r="F53" t="inlineStr">
        <is>
          <t>VÄSTRA GÖTALANDS LÄN</t>
        </is>
      </c>
      <c r="G53" t="inlineStr">
        <is>
          <t>KUNGÄLV</t>
        </is>
      </c>
      <c r="I53" t="n">
        <v>3.4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t="n">
        <v>0</v>
      </c>
      <c r="S53" t="n">
        <v>0</v>
      </c>
      <c r="T53" t="n">
        <v>0</v>
      </c>
      <c r="U53" t="n">
        <v>0</v>
      </c>
      <c r="V53" s="2" t="inlineStr"/>
    </row>
    <row r="54" ht="15" customHeight="1">
      <c r="A54" t="inlineStr">
        <is>
          <t>A 24461-2023</t>
        </is>
      </c>
      <c r="B54" t="inlineStr">
        <is>
          <t>avverkningsanmälan</t>
        </is>
      </c>
      <c r="C54" t="inlineStr">
        <is>
          <t>Föryngringsavverkning</t>
        </is>
      </c>
      <c r="D54" s="1" t="n">
        <v>45082</v>
      </c>
      <c r="E54" s="1" t="n">
        <v>46277</v>
      </c>
      <c r="F54" t="inlineStr">
        <is>
          <t>VÄSTRA GÖTALANDS LÄN</t>
        </is>
      </c>
      <c r="G54" t="inlineStr">
        <is>
          <t>KUNGÄLV</t>
        </is>
      </c>
      <c r="I54" t="n">
        <v>1.5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t="n">
        <v>0</v>
      </c>
      <c r="S54" t="n">
        <v>0</v>
      </c>
      <c r="T54" t="n">
        <v>0</v>
      </c>
      <c r="U54" t="n">
        <v>0</v>
      </c>
      <c r="V54" s="2" t="inlineStr"/>
    </row>
    <row r="55" ht="15" customHeight="1">
      <c r="A55" t="inlineStr">
        <is>
          <t>A 143-2023</t>
        </is>
      </c>
      <c r="B55" t="inlineStr">
        <is>
          <t>avverkningsanmälan</t>
        </is>
      </c>
      <c r="C55" t="inlineStr">
        <is>
          <t>Föryngringsavverkning</t>
        </is>
      </c>
      <c r="D55" s="1" t="n">
        <v>44928</v>
      </c>
      <c r="E55" s="1" t="n">
        <v>46277</v>
      </c>
      <c r="F55" t="inlineStr">
        <is>
          <t>VÄSTRA GÖTALANDS LÄN</t>
        </is>
      </c>
      <c r="G55" t="inlineStr">
        <is>
          <t>KUNGÄLV</t>
        </is>
      </c>
      <c r="I55" t="n">
        <v>0.5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t="n">
        <v>0</v>
      </c>
      <c r="S55" t="n">
        <v>0</v>
      </c>
      <c r="T55" t="n">
        <v>0</v>
      </c>
      <c r="U55" t="n">
        <v>0</v>
      </c>
      <c r="V55" s="2" t="inlineStr"/>
    </row>
    <row r="56" ht="15" customHeight="1">
      <c r="A56" t="inlineStr">
        <is>
          <t>A 49985-2023</t>
        </is>
      </c>
      <c r="B56" t="inlineStr">
        <is>
          <t>avverkningsanmälan</t>
        </is>
      </c>
      <c r="C56" t="inlineStr">
        <is>
          <t>Föryngringsavverkning</t>
        </is>
      </c>
      <c r="D56" s="1" t="n">
        <v>45215</v>
      </c>
      <c r="E56" s="1" t="n">
        <v>46277</v>
      </c>
      <c r="F56" t="inlineStr">
        <is>
          <t>VÄSTRA GÖTALANDS LÄN</t>
        </is>
      </c>
      <c r="G56" t="inlineStr">
        <is>
          <t>KUNGÄLV</t>
        </is>
      </c>
      <c r="I56" t="n">
        <v>8.199999999999999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t="n">
        <v>0</v>
      </c>
      <c r="S56" t="n">
        <v>0</v>
      </c>
      <c r="T56" t="n">
        <v>0</v>
      </c>
      <c r="U56" t="n">
        <v>0</v>
      </c>
      <c r="V56" s="2" t="inlineStr"/>
    </row>
    <row r="57" ht="15" customHeight="1">
      <c r="A57" t="inlineStr">
        <is>
          <t>A 63319-2021</t>
        </is>
      </c>
      <c r="B57" t="inlineStr">
        <is>
          <t>avverkningsanmälan</t>
        </is>
      </c>
      <c r="C57" t="inlineStr">
        <is>
          <t>Föryngringsavverkning</t>
        </is>
      </c>
      <c r="D57" s="1" t="n">
        <v>44508</v>
      </c>
      <c r="E57" s="1" t="n">
        <v>46277</v>
      </c>
      <c r="F57" t="inlineStr">
        <is>
          <t>VÄSTRA GÖTALANDS LÄN</t>
        </is>
      </c>
      <c r="G57" t="inlineStr">
        <is>
          <t>KUNGÄLV</t>
        </is>
      </c>
      <c r="I57" t="n">
        <v>1.6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t="n">
        <v>0</v>
      </c>
      <c r="S57" t="n">
        <v>0</v>
      </c>
      <c r="T57" t="n">
        <v>0</v>
      </c>
      <c r="U57" t="n">
        <v>0</v>
      </c>
      <c r="V57" s="2" t="inlineStr"/>
    </row>
    <row r="58" ht="15" customHeight="1">
      <c r="A58" t="inlineStr">
        <is>
          <t>A 50071-2023</t>
        </is>
      </c>
      <c r="B58" t="inlineStr">
        <is>
          <t>avverkningsanmälan</t>
        </is>
      </c>
      <c r="C58" t="inlineStr">
        <is>
          <t>Föryngringsavverkning</t>
        </is>
      </c>
      <c r="D58" s="1" t="n">
        <v>45215</v>
      </c>
      <c r="E58" s="1" t="n">
        <v>46277</v>
      </c>
      <c r="F58" t="inlineStr">
        <is>
          <t>VÄSTRA GÖTALANDS LÄN</t>
        </is>
      </c>
      <c r="G58" t="inlineStr">
        <is>
          <t>KUNGÄLV</t>
        </is>
      </c>
      <c r="I58" t="n">
        <v>4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t="n">
        <v>0</v>
      </c>
      <c r="S58" t="n">
        <v>0</v>
      </c>
      <c r="T58" t="n">
        <v>0</v>
      </c>
      <c r="U58" t="n">
        <v>0</v>
      </c>
      <c r="V58" s="2" t="inlineStr"/>
    </row>
    <row r="59" ht="15" customHeight="1">
      <c r="A59" t="inlineStr">
        <is>
          <t>A 34366-2022</t>
        </is>
      </c>
      <c r="B59" t="inlineStr">
        <is>
          <t>avverkningsanmälan</t>
        </is>
      </c>
      <c r="C59" t="inlineStr">
        <is>
          <t>Föryngringsavverkning</t>
        </is>
      </c>
      <c r="D59" s="1" t="n">
        <v>44792</v>
      </c>
      <c r="E59" s="1" t="n">
        <v>46277</v>
      </c>
      <c r="F59" t="inlineStr">
        <is>
          <t>VÄSTRA GÖTALANDS LÄN</t>
        </is>
      </c>
      <c r="G59" t="inlineStr">
        <is>
          <t>KUNGÄLV</t>
        </is>
      </c>
      <c r="I59" t="n">
        <v>0.5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t="n">
        <v>0</v>
      </c>
      <c r="S59" t="n">
        <v>0</v>
      </c>
      <c r="T59" t="n">
        <v>0</v>
      </c>
      <c r="U59" t="n">
        <v>0</v>
      </c>
      <c r="V59" s="2" t="inlineStr"/>
    </row>
    <row r="60" ht="15" customHeight="1">
      <c r="A60" t="inlineStr">
        <is>
          <t>A 4673-2026</t>
        </is>
      </c>
      <c r="B60" t="inlineStr">
        <is>
          <t>avverkningsanmälan</t>
        </is>
      </c>
      <c r="C60" t="inlineStr">
        <is>
          <t>Föryngringsavverkning</t>
        </is>
      </c>
      <c r="D60" s="1" t="n">
        <v>46048</v>
      </c>
      <c r="E60" s="1" t="n">
        <v>46277</v>
      </c>
      <c r="F60" t="inlineStr">
        <is>
          <t>VÄSTRA GÖTALANDS LÄN</t>
        </is>
      </c>
      <c r="G60" t="inlineStr">
        <is>
          <t>KUNGÄLV</t>
        </is>
      </c>
      <c r="I60" t="n">
        <v>8.199999999999999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t="n">
        <v>0</v>
      </c>
      <c r="S60" t="n">
        <v>0</v>
      </c>
      <c r="T60" t="n">
        <v>0</v>
      </c>
      <c r="U60" t="n">
        <v>0</v>
      </c>
      <c r="V60" s="2" t="inlineStr"/>
    </row>
    <row r="61" ht="15" customHeight="1">
      <c r="A61" t="inlineStr">
        <is>
          <t>A 7505-2024</t>
        </is>
      </c>
      <c r="B61" t="inlineStr">
        <is>
          <t>avverkningsanmälan</t>
        </is>
      </c>
      <c r="C61" t="inlineStr">
        <is>
          <t>Föryngringsavverkning</t>
        </is>
      </c>
      <c r="D61" s="1" t="n">
        <v>45347</v>
      </c>
      <c r="E61" s="1" t="n">
        <v>46277</v>
      </c>
      <c r="F61" t="inlineStr">
        <is>
          <t>VÄSTRA GÖTALANDS LÄN</t>
        </is>
      </c>
      <c r="G61" t="inlineStr">
        <is>
          <t>KUNGÄLV</t>
        </is>
      </c>
      <c r="I61" t="n">
        <v>1.8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t="n">
        <v>0</v>
      </c>
      <c r="S61" t="n">
        <v>0</v>
      </c>
      <c r="T61" t="n">
        <v>0</v>
      </c>
      <c r="U61" t="n">
        <v>0</v>
      </c>
      <c r="V61" s="2" t="inlineStr"/>
    </row>
    <row r="62" ht="15" customHeight="1">
      <c r="A62" t="inlineStr">
        <is>
          <t>A 6946-2026</t>
        </is>
      </c>
      <c r="B62" t="inlineStr">
        <is>
          <t>avverkningsanmälan</t>
        </is>
      </c>
      <c r="C62" t="inlineStr">
        <is>
          <t>Avverkning för annat ändamål</t>
        </is>
      </c>
      <c r="D62" s="1" t="n">
        <v>46057</v>
      </c>
      <c r="E62" s="1" t="n">
        <v>46277</v>
      </c>
      <c r="F62" t="inlineStr">
        <is>
          <t>VÄSTRA GÖTALANDS LÄN</t>
        </is>
      </c>
      <c r="G62" t="inlineStr">
        <is>
          <t>KUNGÄLV</t>
        </is>
      </c>
      <c r="I62" t="n">
        <v>2.2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t="n">
        <v>0</v>
      </c>
      <c r="S62" t="n">
        <v>0</v>
      </c>
      <c r="T62" t="n">
        <v>0</v>
      </c>
      <c r="U62" t="n">
        <v>0</v>
      </c>
      <c r="V62" s="2" t="inlineStr"/>
    </row>
    <row r="63" ht="15" customHeight="1">
      <c r="A63" t="inlineStr">
        <is>
          <t>A 10655-2022</t>
        </is>
      </c>
      <c r="B63" t="inlineStr">
        <is>
          <t>avverkningsanmälan</t>
        </is>
      </c>
      <c r="C63" t="inlineStr">
        <is>
          <t>Föryngringsavverkning</t>
        </is>
      </c>
      <c r="D63" s="1" t="n">
        <v>44624</v>
      </c>
      <c r="E63" s="1" t="n">
        <v>46277</v>
      </c>
      <c r="F63" t="inlineStr">
        <is>
          <t>VÄSTRA GÖTALANDS LÄN</t>
        </is>
      </c>
      <c r="G63" t="inlineStr">
        <is>
          <t>KUNGÄLV</t>
        </is>
      </c>
      <c r="I63" t="n">
        <v>13.3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t="n">
        <v>0</v>
      </c>
      <c r="S63" t="n">
        <v>0</v>
      </c>
      <c r="T63" t="n">
        <v>0</v>
      </c>
      <c r="U63" t="n">
        <v>0</v>
      </c>
      <c r="V63" s="2" t="inlineStr"/>
    </row>
    <row r="64" ht="15" customHeight="1">
      <c r="A64" t="inlineStr">
        <is>
          <t>A 17455-2025</t>
        </is>
      </c>
      <c r="B64" t="inlineStr">
        <is>
          <t>avverkningsanmälan</t>
        </is>
      </c>
      <c r="C64" t="inlineStr">
        <is>
          <t>Föryngringsavverkning</t>
        </is>
      </c>
      <c r="D64" s="1" t="n">
        <v>45757</v>
      </c>
      <c r="E64" s="1" t="n">
        <v>46277</v>
      </c>
      <c r="F64" t="inlineStr">
        <is>
          <t>VÄSTRA GÖTALANDS LÄN</t>
        </is>
      </c>
      <c r="G64" t="inlineStr">
        <is>
          <t>KUNGÄLV</t>
        </is>
      </c>
      <c r="I64" t="n">
        <v>2.1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t="n">
        <v>0</v>
      </c>
      <c r="S64" t="n">
        <v>0</v>
      </c>
      <c r="T64" t="n">
        <v>0</v>
      </c>
      <c r="U64" t="n">
        <v>0</v>
      </c>
      <c r="V64" s="2" t="inlineStr"/>
    </row>
    <row r="65" ht="15" customHeight="1">
      <c r="A65" t="inlineStr">
        <is>
          <t>A 22731-2026</t>
        </is>
      </c>
      <c r="B65" t="inlineStr">
        <is>
          <t>avverkningsanmälan</t>
        </is>
      </c>
      <c r="C65" t="inlineStr">
        <is>
          <t>Föryngringsavverkning</t>
        </is>
      </c>
      <c r="D65" s="1" t="n">
        <v>46157</v>
      </c>
      <c r="E65" s="1" t="n">
        <v>46277</v>
      </c>
      <c r="F65" t="inlineStr">
        <is>
          <t>VÄSTRA GÖTALANDS LÄN</t>
        </is>
      </c>
      <c r="G65" t="inlineStr">
        <is>
          <t>KUNGÄLV</t>
        </is>
      </c>
      <c r="I65" t="n">
        <v>1.8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t="n">
        <v>0</v>
      </c>
      <c r="S65" t="n">
        <v>0</v>
      </c>
      <c r="T65" t="n">
        <v>0</v>
      </c>
      <c r="U65" t="n">
        <v>0</v>
      </c>
      <c r="V65" s="2" t="inlineStr"/>
    </row>
    <row r="66" ht="15" customHeight="1">
      <c r="A66" t="inlineStr">
        <is>
          <t>A 32391-2025</t>
        </is>
      </c>
      <c r="B66" t="inlineStr">
        <is>
          <t>avverkningsanmälan</t>
        </is>
      </c>
      <c r="C66" t="inlineStr">
        <is>
          <t>Föryngringsavverkning</t>
        </is>
      </c>
      <c r="D66" s="1" t="n">
        <v>45837</v>
      </c>
      <c r="E66" s="1" t="n">
        <v>46277</v>
      </c>
      <c r="F66" t="inlineStr">
        <is>
          <t>VÄSTRA GÖTALANDS LÄN</t>
        </is>
      </c>
      <c r="G66" t="inlineStr">
        <is>
          <t>KUNGÄLV</t>
        </is>
      </c>
      <c r="I66" t="n">
        <v>2.1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t="n">
        <v>0</v>
      </c>
      <c r="S66" t="n">
        <v>0</v>
      </c>
      <c r="T66" t="n">
        <v>0</v>
      </c>
      <c r="U66" t="n">
        <v>0</v>
      </c>
      <c r="V66" s="2" t="inlineStr"/>
    </row>
    <row r="67" ht="15" customHeight="1">
      <c r="A67" t="inlineStr">
        <is>
          <t>A 19531-2023</t>
        </is>
      </c>
      <c r="B67" t="inlineStr">
        <is>
          <t>avverkningsanmälan</t>
        </is>
      </c>
      <c r="C67" t="inlineStr">
        <is>
          <t>Föryngringsavverkning</t>
        </is>
      </c>
      <c r="D67" s="1" t="n">
        <v>45050</v>
      </c>
      <c r="E67" s="1" t="n">
        <v>46277</v>
      </c>
      <c r="F67" t="inlineStr">
        <is>
          <t>VÄSTRA GÖTALANDS LÄN</t>
        </is>
      </c>
      <c r="G67" t="inlineStr">
        <is>
          <t>KUNGÄLV</t>
        </is>
      </c>
      <c r="I67" t="n">
        <v>1.9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t="n">
        <v>0</v>
      </c>
      <c r="S67" t="n">
        <v>0</v>
      </c>
      <c r="T67" t="n">
        <v>0</v>
      </c>
      <c r="U67" t="n">
        <v>0</v>
      </c>
      <c r="V67" s="2" t="inlineStr"/>
    </row>
    <row r="68" ht="15" customHeight="1">
      <c r="A68" t="inlineStr">
        <is>
          <t>A 4263-2024</t>
        </is>
      </c>
      <c r="B68" t="inlineStr">
        <is>
          <t>avverkningsanmälan</t>
        </is>
      </c>
      <c r="C68" t="inlineStr">
        <is>
          <t>Föryngringsavverkning</t>
        </is>
      </c>
      <c r="D68" s="1" t="n">
        <v>45324</v>
      </c>
      <c r="E68" s="1" t="n">
        <v>46277</v>
      </c>
      <c r="F68" t="inlineStr">
        <is>
          <t>VÄSTRA GÖTALANDS LÄN</t>
        </is>
      </c>
      <c r="G68" t="inlineStr">
        <is>
          <t>KUNGÄLV</t>
        </is>
      </c>
      <c r="I68" t="n">
        <v>2.6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t="n">
        <v>0</v>
      </c>
      <c r="S68" t="n">
        <v>0</v>
      </c>
      <c r="T68" t="n">
        <v>0</v>
      </c>
      <c r="U68" t="n">
        <v>0</v>
      </c>
      <c r="V68" s="2" t="inlineStr"/>
    </row>
    <row r="69" ht="15" customHeight="1">
      <c r="A69" t="inlineStr">
        <is>
          <t>A 23607-2026</t>
        </is>
      </c>
      <c r="B69" t="inlineStr">
        <is>
          <t>avverkningsanmälan</t>
        </is>
      </c>
      <c r="C69" t="inlineStr">
        <is>
          <t>Föryngringsavverkning</t>
        </is>
      </c>
      <c r="D69" s="1" t="n">
        <v>46163</v>
      </c>
      <c r="E69" s="1" t="n">
        <v>46277</v>
      </c>
      <c r="F69" t="inlineStr">
        <is>
          <t>VÄSTRA GÖTALANDS LÄN</t>
        </is>
      </c>
      <c r="G69" t="inlineStr">
        <is>
          <t>KUNGÄLV</t>
        </is>
      </c>
      <c r="I69" t="n">
        <v>5.3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t="n">
        <v>0</v>
      </c>
      <c r="S69" t="n">
        <v>0</v>
      </c>
      <c r="T69" t="n">
        <v>0</v>
      </c>
      <c r="U69" t="n">
        <v>0</v>
      </c>
      <c r="V69" s="2" t="inlineStr"/>
    </row>
    <row r="70" ht="15" customHeight="1">
      <c r="A70" t="inlineStr">
        <is>
          <t>A 25135-2025</t>
        </is>
      </c>
      <c r="B70" t="inlineStr">
        <is>
          <t>avverkningsanmälan</t>
        </is>
      </c>
      <c r="C70" t="inlineStr">
        <is>
          <t>Föryngringsavverkning</t>
        </is>
      </c>
      <c r="D70" s="1" t="n">
        <v>45798</v>
      </c>
      <c r="E70" s="1" t="n">
        <v>46277</v>
      </c>
      <c r="F70" t="inlineStr">
        <is>
          <t>VÄSTRA GÖTALANDS LÄN</t>
        </is>
      </c>
      <c r="G70" t="inlineStr">
        <is>
          <t>KUNGÄLV</t>
        </is>
      </c>
      <c r="I70" t="n">
        <v>1.1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t="n">
        <v>0</v>
      </c>
      <c r="S70" t="n">
        <v>0</v>
      </c>
      <c r="T70" t="n">
        <v>0</v>
      </c>
      <c r="U70" t="n">
        <v>0</v>
      </c>
      <c r="V70" s="2" t="inlineStr"/>
    </row>
    <row r="71" ht="15" customHeight="1">
      <c r="A71" t="inlineStr">
        <is>
          <t>A 5705-2025</t>
        </is>
      </c>
      <c r="B71" t="inlineStr">
        <is>
          <t>avverkningsanmälan</t>
        </is>
      </c>
      <c r="C71" t="inlineStr">
        <is>
          <t>Avverkning för annat ändamål</t>
        </is>
      </c>
      <c r="D71" s="1" t="n">
        <v>45694</v>
      </c>
      <c r="E71" s="1" t="n">
        <v>46277</v>
      </c>
      <c r="F71" t="inlineStr">
        <is>
          <t>VÄSTRA GÖTALANDS LÄN</t>
        </is>
      </c>
      <c r="G71" t="inlineStr">
        <is>
          <t>KUNGÄLV</t>
        </is>
      </c>
      <c r="I71" t="n">
        <v>1.2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t="n">
        <v>0</v>
      </c>
      <c r="S71" t="n">
        <v>0</v>
      </c>
      <c r="T71" t="n">
        <v>0</v>
      </c>
      <c r="U71" t="n">
        <v>0</v>
      </c>
      <c r="V71" s="2" t="inlineStr"/>
    </row>
    <row r="72" ht="15" customHeight="1">
      <c r="A72" t="inlineStr">
        <is>
          <t>A 62979-2023</t>
        </is>
      </c>
      <c r="B72" t="inlineStr">
        <is>
          <t>avverkningsanmälan</t>
        </is>
      </c>
      <c r="C72" t="inlineStr">
        <is>
          <t>Avverkning för annat ändamål</t>
        </is>
      </c>
      <c r="D72" s="1" t="n">
        <v>45271</v>
      </c>
      <c r="E72" s="1" t="n">
        <v>46277</v>
      </c>
      <c r="F72" t="inlineStr">
        <is>
          <t>VÄSTRA GÖTALANDS LÄN</t>
        </is>
      </c>
      <c r="G72" t="inlineStr">
        <is>
          <t>KUNGÄLV</t>
        </is>
      </c>
      <c r="I72" t="n">
        <v>0.8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t="n">
        <v>0</v>
      </c>
      <c r="S72" t="n">
        <v>0</v>
      </c>
      <c r="T72" t="n">
        <v>0</v>
      </c>
      <c r="U72" t="n">
        <v>0</v>
      </c>
      <c r="V72" s="2" t="inlineStr"/>
    </row>
    <row r="73" ht="15" customHeight="1">
      <c r="A73" t="inlineStr">
        <is>
          <t>A 16538-2025</t>
        </is>
      </c>
      <c r="B73" t="inlineStr">
        <is>
          <t>avverkningsanmälan</t>
        </is>
      </c>
      <c r="C73" t="inlineStr">
        <is>
          <t>Föryngringsavverkning</t>
        </is>
      </c>
      <c r="D73" s="1" t="n">
        <v>45751</v>
      </c>
      <c r="E73" s="1" t="n">
        <v>46277</v>
      </c>
      <c r="F73" t="inlineStr">
        <is>
          <t>VÄSTRA GÖTALANDS LÄN</t>
        </is>
      </c>
      <c r="G73" t="inlineStr">
        <is>
          <t>KUNGÄLV</t>
        </is>
      </c>
      <c r="I73" t="n">
        <v>0.8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t="n">
        <v>0</v>
      </c>
      <c r="S73" t="n">
        <v>0</v>
      </c>
      <c r="T73" t="n">
        <v>0</v>
      </c>
      <c r="U73" t="n">
        <v>0</v>
      </c>
      <c r="V73" s="2" t="inlineStr"/>
    </row>
    <row r="74" ht="15" customHeight="1">
      <c r="A74" t="inlineStr">
        <is>
          <t>A 29801-2022</t>
        </is>
      </c>
      <c r="B74" t="inlineStr">
        <is>
          <t>avverkningsanmälan</t>
        </is>
      </c>
      <c r="C74" t="inlineStr">
        <is>
          <t>Föryngringsavverkning</t>
        </is>
      </c>
      <c r="D74" s="1" t="n">
        <v>44755</v>
      </c>
      <c r="E74" s="1" t="n">
        <v>46277</v>
      </c>
      <c r="F74" t="inlineStr">
        <is>
          <t>VÄSTRA GÖTALANDS LÄN</t>
        </is>
      </c>
      <c r="G74" t="inlineStr">
        <is>
          <t>KUNGÄLV</t>
        </is>
      </c>
      <c r="I74" t="n">
        <v>4.8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t="n">
        <v>0</v>
      </c>
      <c r="S74" t="n">
        <v>0</v>
      </c>
      <c r="T74" t="n">
        <v>0</v>
      </c>
      <c r="U74" t="n">
        <v>0</v>
      </c>
      <c r="V74" s="2" t="inlineStr"/>
    </row>
    <row r="75" ht="15" customHeight="1">
      <c r="A75" t="inlineStr">
        <is>
          <t>A 49981-2023</t>
        </is>
      </c>
      <c r="B75" t="inlineStr">
        <is>
          <t>avverkningsanmälan</t>
        </is>
      </c>
      <c r="C75" t="inlineStr">
        <is>
          <t>Föryngringsavverkning</t>
        </is>
      </c>
      <c r="D75" s="1" t="n">
        <v>45215</v>
      </c>
      <c r="E75" s="1" t="n">
        <v>46277</v>
      </c>
      <c r="F75" t="inlineStr">
        <is>
          <t>VÄSTRA GÖTALANDS LÄN</t>
        </is>
      </c>
      <c r="G75" t="inlineStr">
        <is>
          <t>KUNGÄLV</t>
        </is>
      </c>
      <c r="I75" t="n">
        <v>2.5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t="n">
        <v>0</v>
      </c>
      <c r="S75" t="n">
        <v>0</v>
      </c>
      <c r="T75" t="n">
        <v>0</v>
      </c>
      <c r="U75" t="n">
        <v>0</v>
      </c>
      <c r="V75" s="2" t="inlineStr"/>
    </row>
    <row r="76" ht="15" customHeight="1">
      <c r="A76" t="inlineStr">
        <is>
          <t>A 71835-2021</t>
        </is>
      </c>
      <c r="B76" t="inlineStr">
        <is>
          <t>avverkningsanmälan</t>
        </is>
      </c>
      <c r="C76" t="inlineStr">
        <is>
          <t>Föryngringsavverkning</t>
        </is>
      </c>
      <c r="D76" s="1" t="n">
        <v>44543</v>
      </c>
      <c r="E76" s="1" t="n">
        <v>46277</v>
      </c>
      <c r="F76" t="inlineStr">
        <is>
          <t>VÄSTRA GÖTALANDS LÄN</t>
        </is>
      </c>
      <c r="G76" t="inlineStr">
        <is>
          <t>KUNGÄLV</t>
        </is>
      </c>
      <c r="I76" t="n">
        <v>7.5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t="n">
        <v>0</v>
      </c>
      <c r="S76" t="n">
        <v>0</v>
      </c>
      <c r="T76" t="n">
        <v>0</v>
      </c>
      <c r="U76" t="n">
        <v>0</v>
      </c>
      <c r="V76" s="2" t="inlineStr"/>
    </row>
    <row r="77" ht="15" customHeight="1">
      <c r="A77" t="inlineStr">
        <is>
          <t>A 56782-2022</t>
        </is>
      </c>
      <c r="B77" t="inlineStr">
        <is>
          <t>avverkningsanmälan</t>
        </is>
      </c>
      <c r="C77" t="inlineStr">
        <is>
          <t>Föryngringsavverkning</t>
        </is>
      </c>
      <c r="D77" s="1" t="n">
        <v>44894</v>
      </c>
      <c r="E77" s="1" t="n">
        <v>46277</v>
      </c>
      <c r="F77" t="inlineStr">
        <is>
          <t>VÄSTRA GÖTALANDS LÄN</t>
        </is>
      </c>
      <c r="G77" t="inlineStr">
        <is>
          <t>KUNGÄLV</t>
        </is>
      </c>
      <c r="I77" t="n">
        <v>0.5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t="n">
        <v>0</v>
      </c>
      <c r="S77" t="n">
        <v>0</v>
      </c>
      <c r="T77" t="n">
        <v>0</v>
      </c>
      <c r="U77" t="n">
        <v>0</v>
      </c>
      <c r="V77" s="2" t="inlineStr"/>
    </row>
    <row r="78" ht="15" customHeight="1">
      <c r="A78" t="inlineStr">
        <is>
          <t>A 29952-2026</t>
        </is>
      </c>
      <c r="B78" t="inlineStr">
        <is>
          <t>avverkningsanmälan</t>
        </is>
      </c>
      <c r="C78" t="inlineStr">
        <is>
          <t>Föryngringsavverkning</t>
        </is>
      </c>
      <c r="D78" s="1" t="n">
        <v>46205</v>
      </c>
      <c r="E78" s="1" t="n">
        <v>46277</v>
      </c>
      <c r="F78" t="inlineStr">
        <is>
          <t>VÄSTRA GÖTALANDS LÄN</t>
        </is>
      </c>
      <c r="G78" t="inlineStr">
        <is>
          <t>KUNGÄLV</t>
        </is>
      </c>
      <c r="I78" t="n">
        <v>2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t="n">
        <v>0</v>
      </c>
      <c r="S78" t="n">
        <v>0</v>
      </c>
      <c r="T78" t="n">
        <v>0</v>
      </c>
      <c r="U78" t="n">
        <v>0</v>
      </c>
      <c r="V78" s="2" t="inlineStr"/>
    </row>
    <row r="79" ht="15" customHeight="1">
      <c r="A79" t="inlineStr">
        <is>
          <t>A 26812-2024</t>
        </is>
      </c>
      <c r="B79" t="inlineStr">
        <is>
          <t>avverkningsanmälan</t>
        </is>
      </c>
      <c r="C79" t="inlineStr">
        <is>
          <t>Föryngringsavverkning</t>
        </is>
      </c>
      <c r="D79" s="1" t="n">
        <v>45470</v>
      </c>
      <c r="E79" s="1" t="n">
        <v>46277</v>
      </c>
      <c r="F79" t="inlineStr">
        <is>
          <t>VÄSTRA GÖTALANDS LÄN</t>
        </is>
      </c>
      <c r="G79" t="inlineStr">
        <is>
          <t>KUNGÄLV</t>
        </is>
      </c>
      <c r="I79" t="n">
        <v>1.7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t="n">
        <v>0</v>
      </c>
      <c r="S79" t="n">
        <v>0</v>
      </c>
      <c r="T79" t="n">
        <v>0</v>
      </c>
      <c r="U79" t="n">
        <v>0</v>
      </c>
      <c r="V79" s="2" t="inlineStr"/>
    </row>
    <row r="80" ht="15" customHeight="1">
      <c r="A80" t="inlineStr">
        <is>
          <t>A 34386-2026</t>
        </is>
      </c>
      <c r="B80" t="inlineStr">
        <is>
          <t>avverkningsanmälan</t>
        </is>
      </c>
      <c r="C80" t="inlineStr">
        <is>
          <t>Föryngringsavverkning</t>
        </is>
      </c>
      <c r="D80" s="1" t="n">
        <v>46254</v>
      </c>
      <c r="E80" s="1" t="n">
        <v>46277</v>
      </c>
      <c r="F80" t="inlineStr">
        <is>
          <t>VÄSTRA GÖTALANDS LÄN</t>
        </is>
      </c>
      <c r="G80" t="inlineStr">
        <is>
          <t>KUNGÄLV</t>
        </is>
      </c>
      <c r="I80" t="n">
        <v>0.7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t="n">
        <v>0</v>
      </c>
      <c r="S80" t="n">
        <v>0</v>
      </c>
      <c r="T80" t="n">
        <v>0</v>
      </c>
      <c r="U80" t="n">
        <v>0</v>
      </c>
      <c r="V80" s="2" t="inlineStr"/>
    </row>
    <row r="81" ht="15" customHeight="1">
      <c r="A81" t="inlineStr">
        <is>
          <t>A 30738-2026</t>
        </is>
      </c>
      <c r="B81" t="inlineStr">
        <is>
          <t>avverkningsanmälan</t>
        </is>
      </c>
      <c r="C81" t="inlineStr">
        <is>
          <t>Föryngringsavverkning</t>
        </is>
      </c>
      <c r="D81" s="1" t="n">
        <v>46211</v>
      </c>
      <c r="E81" s="1" t="n">
        <v>46277</v>
      </c>
      <c r="F81" t="inlineStr">
        <is>
          <t>VÄSTRA GÖTALANDS LÄN</t>
        </is>
      </c>
      <c r="G81" t="inlineStr">
        <is>
          <t>KUNGÄLV</t>
        </is>
      </c>
      <c r="I81" t="n">
        <v>3.5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t="n">
        <v>0</v>
      </c>
      <c r="S81" t="n">
        <v>0</v>
      </c>
      <c r="T81" t="n">
        <v>0</v>
      </c>
      <c r="U81" t="n">
        <v>0</v>
      </c>
      <c r="V81" s="2" t="inlineStr"/>
    </row>
    <row r="82" ht="15" customHeight="1">
      <c r="A82" t="inlineStr">
        <is>
          <t>A 30859-2026</t>
        </is>
      </c>
      <c r="B82" t="inlineStr">
        <is>
          <t>avverkningsanmälan</t>
        </is>
      </c>
      <c r="C82" t="inlineStr">
        <is>
          <t>Föryngringsavverkning</t>
        </is>
      </c>
      <c r="D82" s="1" t="n">
        <v>46212</v>
      </c>
      <c r="E82" s="1" t="n">
        <v>46277</v>
      </c>
      <c r="F82" t="inlineStr">
        <is>
          <t>VÄSTRA GÖTALANDS LÄN</t>
        </is>
      </c>
      <c r="G82" t="inlineStr">
        <is>
          <t>KUNGÄLV</t>
        </is>
      </c>
      <c r="I82" t="n">
        <v>0.5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t="n">
        <v>0</v>
      </c>
      <c r="S82" t="n">
        <v>0</v>
      </c>
      <c r="T82" t="n">
        <v>0</v>
      </c>
      <c r="U82" t="n">
        <v>0</v>
      </c>
      <c r="V82" s="2" t="inlineStr"/>
    </row>
    <row r="83" ht="15" customHeight="1">
      <c r="A83" t="inlineStr">
        <is>
          <t>A 34387-2026</t>
        </is>
      </c>
      <c r="B83" t="inlineStr">
        <is>
          <t>avverkningsanmälan</t>
        </is>
      </c>
      <c r="C83" t="inlineStr">
        <is>
          <t>Föryngringsavverkning</t>
        </is>
      </c>
      <c r="D83" s="1" t="n">
        <v>46254</v>
      </c>
      <c r="E83" s="1" t="n">
        <v>46277</v>
      </c>
      <c r="F83" t="inlineStr">
        <is>
          <t>VÄSTRA GÖTALANDS LÄN</t>
        </is>
      </c>
      <c r="G83" t="inlineStr">
        <is>
          <t>KUNGÄLV</t>
        </is>
      </c>
      <c r="I83" t="n">
        <v>0.3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t="n">
        <v>0</v>
      </c>
      <c r="S83" t="n">
        <v>0</v>
      </c>
      <c r="T83" t="n">
        <v>0</v>
      </c>
      <c r="U83" t="n">
        <v>0</v>
      </c>
      <c r="V83" s="2" t="inlineStr"/>
    </row>
    <row r="84" ht="15" customHeight="1">
      <c r="A84" t="inlineStr">
        <is>
          <t>A 34396-2026</t>
        </is>
      </c>
      <c r="B84" t="inlineStr">
        <is>
          <t>avverkningsanmälan</t>
        </is>
      </c>
      <c r="C84" t="inlineStr">
        <is>
          <t>Föryngringsavverkning</t>
        </is>
      </c>
      <c r="D84" s="1" t="n">
        <v>46254</v>
      </c>
      <c r="E84" s="1" t="n">
        <v>46277</v>
      </c>
      <c r="F84" t="inlineStr">
        <is>
          <t>VÄSTRA GÖTALANDS LÄN</t>
        </is>
      </c>
      <c r="G84" t="inlineStr">
        <is>
          <t>KUNGÄLV</t>
        </is>
      </c>
      <c r="I84" t="n">
        <v>0.8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t="n">
        <v>0</v>
      </c>
      <c r="S84" t="n">
        <v>0</v>
      </c>
      <c r="T84" t="n">
        <v>0</v>
      </c>
      <c r="U84" t="n">
        <v>0</v>
      </c>
      <c r="V84" s="2" t="inlineStr"/>
    </row>
    <row r="85" ht="15" customHeight="1">
      <c r="A85" t="inlineStr">
        <is>
          <t>A 34392-2026</t>
        </is>
      </c>
      <c r="B85" t="inlineStr">
        <is>
          <t>avverkningsanmälan</t>
        </is>
      </c>
      <c r="C85" t="inlineStr">
        <is>
          <t>Föryngringsavverkning</t>
        </is>
      </c>
      <c r="D85" s="1" t="n">
        <v>46254</v>
      </c>
      <c r="E85" s="1" t="n">
        <v>46277</v>
      </c>
      <c r="F85" t="inlineStr">
        <is>
          <t>VÄSTRA GÖTALANDS LÄN</t>
        </is>
      </c>
      <c r="G85" t="inlineStr">
        <is>
          <t>KUNGÄLV</t>
        </is>
      </c>
      <c r="I85" t="n">
        <v>0.4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t="n">
        <v>0</v>
      </c>
      <c r="S85" t="n">
        <v>0</v>
      </c>
      <c r="T85" t="n">
        <v>0</v>
      </c>
      <c r="U85" t="n">
        <v>0</v>
      </c>
      <c r="V85" s="2" t="inlineStr"/>
    </row>
    <row r="86" ht="15" customHeight="1">
      <c r="A86" t="inlineStr">
        <is>
          <t>A 10810-2023</t>
        </is>
      </c>
      <c r="B86" t="inlineStr">
        <is>
          <t>avverkningsanmälan</t>
        </is>
      </c>
      <c r="C86" t="inlineStr">
        <is>
          <t>Föryngringsavverkning</t>
        </is>
      </c>
      <c r="D86" s="1" t="n">
        <v>44989</v>
      </c>
      <c r="E86" s="1" t="n">
        <v>46277</v>
      </c>
      <c r="F86" t="inlineStr">
        <is>
          <t>VÄSTRA GÖTALANDS LÄN</t>
        </is>
      </c>
      <c r="G86" t="inlineStr">
        <is>
          <t>KUNGÄLV</t>
        </is>
      </c>
      <c r="I86" t="n">
        <v>0.4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t="n">
        <v>0</v>
      </c>
      <c r="S86" t="n">
        <v>0</v>
      </c>
      <c r="T86" t="n">
        <v>0</v>
      </c>
      <c r="U86" t="n">
        <v>0</v>
      </c>
      <c r="V86" s="2" t="inlineStr"/>
    </row>
    <row r="87" ht="15" customHeight="1">
      <c r="A87" t="inlineStr">
        <is>
          <t>A 62128-2021</t>
        </is>
      </c>
      <c r="B87" t="inlineStr">
        <is>
          <t>avverkningsanmälan</t>
        </is>
      </c>
      <c r="C87" t="inlineStr">
        <is>
          <t>Föryngringsavverkning</t>
        </is>
      </c>
      <c r="D87" s="1" t="n">
        <v>44502</v>
      </c>
      <c r="E87" s="1" t="n">
        <v>46277</v>
      </c>
      <c r="F87" t="inlineStr">
        <is>
          <t>VÄSTRA GÖTALANDS LÄN</t>
        </is>
      </c>
      <c r="G87" t="inlineStr">
        <is>
          <t>KUNGÄLV</t>
        </is>
      </c>
      <c r="I87" t="n">
        <v>1.8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t="n">
        <v>0</v>
      </c>
      <c r="S87" t="n">
        <v>0</v>
      </c>
      <c r="T87" t="n">
        <v>0</v>
      </c>
      <c r="U87" t="n">
        <v>0</v>
      </c>
      <c r="V87" s="2" t="inlineStr"/>
    </row>
    <row r="88" ht="15" customHeight="1">
      <c r="A88" t="inlineStr">
        <is>
          <t>A 21240-2023</t>
        </is>
      </c>
      <c r="B88" t="inlineStr">
        <is>
          <t>avverkningsanmälan</t>
        </is>
      </c>
      <c r="C88" t="inlineStr">
        <is>
          <t>Föryngringsavverkning</t>
        </is>
      </c>
      <c r="D88" s="1" t="n">
        <v>45058</v>
      </c>
      <c r="E88" s="1" t="n">
        <v>46277</v>
      </c>
      <c r="F88" t="inlineStr">
        <is>
          <t>VÄSTRA GÖTALANDS LÄN</t>
        </is>
      </c>
      <c r="G88" t="inlineStr">
        <is>
          <t>KUNGÄLV</t>
        </is>
      </c>
      <c r="I88" t="n">
        <v>2.3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t="n">
        <v>0</v>
      </c>
      <c r="S88" t="n">
        <v>0</v>
      </c>
      <c r="T88" t="n">
        <v>0</v>
      </c>
      <c r="U88" t="n">
        <v>0</v>
      </c>
      <c r="V88" s="2" t="inlineStr"/>
    </row>
    <row r="89" ht="15" customHeight="1">
      <c r="A89" t="inlineStr">
        <is>
          <t>A 18851-2024</t>
        </is>
      </c>
      <c r="B89" t="inlineStr">
        <is>
          <t>avverkningsanmälan</t>
        </is>
      </c>
      <c r="C89" t="inlineStr">
        <is>
          <t>Föryngringsavverkning</t>
        </is>
      </c>
      <c r="D89" s="1" t="n">
        <v>45426</v>
      </c>
      <c r="E89" s="1" t="n">
        <v>46277</v>
      </c>
      <c r="F89" t="inlineStr">
        <is>
          <t>VÄSTRA GÖTALANDS LÄN</t>
        </is>
      </c>
      <c r="G89" t="inlineStr">
        <is>
          <t>KUNGÄLV</t>
        </is>
      </c>
      <c r="I89" t="n">
        <v>2.7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t="n">
        <v>0</v>
      </c>
      <c r="S89" t="n">
        <v>0</v>
      </c>
      <c r="T89" t="n">
        <v>0</v>
      </c>
      <c r="U89" t="n">
        <v>0</v>
      </c>
      <c r="V89" s="2" t="inlineStr"/>
    </row>
    <row r="90" ht="15" customHeight="1">
      <c r="A90" t="inlineStr">
        <is>
          <t>A 21389-2023</t>
        </is>
      </c>
      <c r="B90" t="inlineStr">
        <is>
          <t>avverkningsanmälan</t>
        </is>
      </c>
      <c r="C90" t="inlineStr">
        <is>
          <t>Föryngringsavverkning</t>
        </is>
      </c>
      <c r="D90" s="1" t="n">
        <v>45063</v>
      </c>
      <c r="E90" s="1" t="n">
        <v>46277</v>
      </c>
      <c r="F90" t="inlineStr">
        <is>
          <t>VÄSTRA GÖTALANDS LÄN</t>
        </is>
      </c>
      <c r="G90" t="inlineStr">
        <is>
          <t>KUNGÄLV</t>
        </is>
      </c>
      <c r="I90" t="n">
        <v>3.4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t="n">
        <v>0</v>
      </c>
      <c r="S90" t="n">
        <v>0</v>
      </c>
      <c r="T90" t="n">
        <v>0</v>
      </c>
      <c r="U90" t="n">
        <v>0</v>
      </c>
      <c r="V90" s="2" t="inlineStr"/>
    </row>
    <row r="91" ht="15" customHeight="1">
      <c r="A91" t="inlineStr">
        <is>
          <t>A 44176-2023</t>
        </is>
      </c>
      <c r="B91" t="inlineStr">
        <is>
          <t>avverkningsanmälan</t>
        </is>
      </c>
      <c r="C91" t="inlineStr">
        <is>
          <t>Föryngringsavverkning</t>
        </is>
      </c>
      <c r="D91" s="1" t="n">
        <v>45188</v>
      </c>
      <c r="E91" s="1" t="n">
        <v>46277</v>
      </c>
      <c r="F91" t="inlineStr">
        <is>
          <t>VÄSTRA GÖTALANDS LÄN</t>
        </is>
      </c>
      <c r="G91" t="inlineStr">
        <is>
          <t>KUNGÄLV</t>
        </is>
      </c>
      <c r="I91" t="n">
        <v>7.1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t="n">
        <v>0</v>
      </c>
      <c r="S91" t="n">
        <v>0</v>
      </c>
      <c r="T91" t="n">
        <v>0</v>
      </c>
      <c r="U91" t="n">
        <v>0</v>
      </c>
      <c r="V91" s="2" t="inlineStr"/>
    </row>
    <row r="92" ht="15" customHeight="1">
      <c r="A92" t="inlineStr">
        <is>
          <t>A 23457-2024</t>
        </is>
      </c>
      <c r="B92" t="inlineStr">
        <is>
          <t>avverkningsanmälan</t>
        </is>
      </c>
      <c r="C92" t="inlineStr">
        <is>
          <t>Föryngringsavverkning</t>
        </is>
      </c>
      <c r="D92" s="1" t="n">
        <v>45453</v>
      </c>
      <c r="E92" s="1" t="n">
        <v>46277</v>
      </c>
      <c r="F92" t="inlineStr">
        <is>
          <t>VÄSTRA GÖTALANDS LÄN</t>
        </is>
      </c>
      <c r="G92" t="inlineStr">
        <is>
          <t>KUNGÄLV</t>
        </is>
      </c>
      <c r="I92" t="n">
        <v>5.1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t="n">
        <v>0</v>
      </c>
      <c r="S92" t="n">
        <v>0</v>
      </c>
      <c r="T92" t="n">
        <v>0</v>
      </c>
      <c r="U92" t="n">
        <v>0</v>
      </c>
      <c r="V92" s="2" t="inlineStr"/>
    </row>
    <row r="93" ht="15" customHeight="1">
      <c r="A93" t="inlineStr">
        <is>
          <t>A 39714-2024</t>
        </is>
      </c>
      <c r="B93" t="inlineStr">
        <is>
          <t>avverkningsanmälan</t>
        </is>
      </c>
      <c r="C93" t="inlineStr">
        <is>
          <t>Föryngringsavverkning</t>
        </is>
      </c>
      <c r="D93" s="1" t="n">
        <v>45552</v>
      </c>
      <c r="E93" s="1" t="n">
        <v>46277</v>
      </c>
      <c r="F93" t="inlineStr">
        <is>
          <t>VÄSTRA GÖTALANDS LÄN</t>
        </is>
      </c>
      <c r="G93" t="inlineStr">
        <is>
          <t>KUNGÄLV</t>
        </is>
      </c>
      <c r="I93" t="n">
        <v>1.2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t="n">
        <v>0</v>
      </c>
      <c r="S93" t="n">
        <v>0</v>
      </c>
      <c r="T93" t="n">
        <v>0</v>
      </c>
      <c r="U93" t="n">
        <v>0</v>
      </c>
      <c r="V93" s="2" t="inlineStr"/>
    </row>
    <row r="94" ht="15" customHeight="1">
      <c r="A94" t="inlineStr">
        <is>
          <t>A 18852-2024</t>
        </is>
      </c>
      <c r="B94" t="inlineStr">
        <is>
          <t>avverkningsanmälan</t>
        </is>
      </c>
      <c r="C94" t="inlineStr">
        <is>
          <t>Föryngringsavverkning</t>
        </is>
      </c>
      <c r="D94" s="1" t="n">
        <v>45426</v>
      </c>
      <c r="E94" s="1" t="n">
        <v>46277</v>
      </c>
      <c r="F94" t="inlineStr">
        <is>
          <t>VÄSTRA GÖTALANDS LÄN</t>
        </is>
      </c>
      <c r="G94" t="inlineStr">
        <is>
          <t>KUNGÄLV</t>
        </is>
      </c>
      <c r="I94" t="n">
        <v>2.7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t="n">
        <v>0</v>
      </c>
      <c r="S94" t="n">
        <v>0</v>
      </c>
      <c r="T94" t="n">
        <v>0</v>
      </c>
      <c r="U94" t="n">
        <v>0</v>
      </c>
      <c r="V94" s="2" t="inlineStr"/>
    </row>
    <row r="95" ht="15" customHeight="1">
      <c r="A95" t="inlineStr">
        <is>
          <t>A 51724-2023</t>
        </is>
      </c>
      <c r="B95" t="inlineStr">
        <is>
          <t>avverkningsanmälan</t>
        </is>
      </c>
      <c r="C95" t="inlineStr">
        <is>
          <t>Föryngringsavverkning</t>
        </is>
      </c>
      <c r="D95" s="1" t="n">
        <v>45222</v>
      </c>
      <c r="E95" s="1" t="n">
        <v>46277</v>
      </c>
      <c r="F95" t="inlineStr">
        <is>
          <t>VÄSTRA GÖTALANDS LÄN</t>
        </is>
      </c>
      <c r="G95" t="inlineStr">
        <is>
          <t>KUNGÄLV</t>
        </is>
      </c>
      <c r="I95" t="n">
        <v>3.1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t="n">
        <v>0</v>
      </c>
      <c r="S95" t="n">
        <v>0</v>
      </c>
      <c r="T95" t="n">
        <v>0</v>
      </c>
      <c r="U95" t="n">
        <v>0</v>
      </c>
      <c r="V95" s="2" t="inlineStr"/>
    </row>
    <row r="96" ht="15" customHeight="1">
      <c r="A96" t="inlineStr">
        <is>
          <t>A 10679-2025</t>
        </is>
      </c>
      <c r="B96" t="inlineStr">
        <is>
          <t>avverkningsanmälan</t>
        </is>
      </c>
      <c r="C96" t="inlineStr">
        <is>
          <t>Föryngringsavverkning</t>
        </is>
      </c>
      <c r="D96" s="1" t="n">
        <v>45721</v>
      </c>
      <c r="E96" s="1" t="n">
        <v>46277</v>
      </c>
      <c r="F96" t="inlineStr">
        <is>
          <t>VÄSTRA GÖTALANDS LÄN</t>
        </is>
      </c>
      <c r="G96" t="inlineStr">
        <is>
          <t>KUNGÄLV</t>
        </is>
      </c>
      <c r="I96" t="n">
        <v>4.4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t="n">
        <v>0</v>
      </c>
      <c r="S96" t="n">
        <v>0</v>
      </c>
      <c r="T96" t="n">
        <v>0</v>
      </c>
      <c r="U96" t="n">
        <v>0</v>
      </c>
      <c r="V96" s="2" t="inlineStr"/>
    </row>
    <row r="97" ht="15" customHeight="1">
      <c r="A97" t="inlineStr">
        <is>
          <t>A 11237-2025</t>
        </is>
      </c>
      <c r="B97" t="inlineStr">
        <is>
          <t>avverkningsanmälan</t>
        </is>
      </c>
      <c r="C97" t="inlineStr">
        <is>
          <t>Föryngringsavverkning</t>
        </is>
      </c>
      <c r="D97" s="1" t="n">
        <v>45726</v>
      </c>
      <c r="E97" s="1" t="n">
        <v>46277</v>
      </c>
      <c r="F97" t="inlineStr">
        <is>
          <t>VÄSTRA GÖTALANDS LÄN</t>
        </is>
      </c>
      <c r="G97" t="inlineStr">
        <is>
          <t>KUNGÄLV</t>
        </is>
      </c>
      <c r="I97" t="n">
        <v>4.2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t="n">
        <v>0</v>
      </c>
      <c r="S97" t="n">
        <v>0</v>
      </c>
      <c r="T97" t="n">
        <v>0</v>
      </c>
      <c r="U97" t="n">
        <v>0</v>
      </c>
      <c r="V97" s="2" t="inlineStr"/>
    </row>
    <row r="98" ht="15" customHeight="1">
      <c r="A98" t="inlineStr">
        <is>
          <t>A 10677-2025</t>
        </is>
      </c>
      <c r="B98" t="inlineStr">
        <is>
          <t>avverkningsanmälan</t>
        </is>
      </c>
      <c r="C98" t="inlineStr">
        <is>
          <t>Föryngringsavverkning</t>
        </is>
      </c>
      <c r="D98" s="1" t="n">
        <v>45721</v>
      </c>
      <c r="E98" s="1" t="n">
        <v>46277</v>
      </c>
      <c r="F98" t="inlineStr">
        <is>
          <t>VÄSTRA GÖTALANDS LÄN</t>
        </is>
      </c>
      <c r="G98" t="inlineStr">
        <is>
          <t>KUNGÄLV</t>
        </is>
      </c>
      <c r="I98" t="n">
        <v>7.4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t="n">
        <v>0</v>
      </c>
      <c r="S98" t="n">
        <v>0</v>
      </c>
      <c r="T98" t="n">
        <v>0</v>
      </c>
      <c r="U98" t="n">
        <v>0</v>
      </c>
      <c r="V98" s="2" t="inlineStr"/>
    </row>
    <row r="99" ht="15" customHeight="1">
      <c r="A99" t="inlineStr">
        <is>
          <t>A 74285-2021</t>
        </is>
      </c>
      <c r="B99" t="inlineStr">
        <is>
          <t>avverkningsanmälan</t>
        </is>
      </c>
      <c r="C99" t="inlineStr">
        <is>
          <t>Föryngringsavverkning</t>
        </is>
      </c>
      <c r="D99" s="1" t="n">
        <v>44558</v>
      </c>
      <c r="E99" s="1" t="n">
        <v>46277</v>
      </c>
      <c r="F99" t="inlineStr">
        <is>
          <t>VÄSTRA GÖTALANDS LÄN</t>
        </is>
      </c>
      <c r="G99" t="inlineStr">
        <is>
          <t>KUNGÄLV</t>
        </is>
      </c>
      <c r="I99" t="n">
        <v>1.1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t="n">
        <v>0</v>
      </c>
      <c r="S99" t="n">
        <v>0</v>
      </c>
      <c r="T99" t="n">
        <v>0</v>
      </c>
      <c r="U99" t="n">
        <v>0</v>
      </c>
      <c r="V99" s="2" t="inlineStr"/>
    </row>
    <row r="100" ht="15" customHeight="1">
      <c r="A100" t="inlineStr">
        <is>
          <t>A 61417-2022</t>
        </is>
      </c>
      <c r="B100" t="inlineStr">
        <is>
          <t>avverkningsanmälan</t>
        </is>
      </c>
      <c r="C100" t="inlineStr">
        <is>
          <t>Föryngringsavverkning</t>
        </is>
      </c>
      <c r="D100" s="1" t="n">
        <v>44916</v>
      </c>
      <c r="E100" s="1" t="n">
        <v>46277</v>
      </c>
      <c r="F100" t="inlineStr">
        <is>
          <t>VÄSTRA GÖTALANDS LÄN</t>
        </is>
      </c>
      <c r="G100" t="inlineStr">
        <is>
          <t>KUNGÄLV</t>
        </is>
      </c>
      <c r="I100" t="n">
        <v>3.6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t="n">
        <v>0</v>
      </c>
      <c r="S100" t="n">
        <v>0</v>
      </c>
      <c r="T100" t="n">
        <v>0</v>
      </c>
      <c r="U100" t="n">
        <v>0</v>
      </c>
      <c r="V100" s="2" t="inlineStr"/>
    </row>
    <row r="101" ht="15" customHeight="1">
      <c r="A101" t="inlineStr">
        <is>
          <t>A 32272-2023</t>
        </is>
      </c>
      <c r="B101" t="inlineStr">
        <is>
          <t>avverkningsanmälan</t>
        </is>
      </c>
      <c r="C101" t="inlineStr">
        <is>
          <t>Föryngringsavverkning</t>
        </is>
      </c>
      <c r="D101" s="1" t="n">
        <v>45120</v>
      </c>
      <c r="E101" s="1" t="n">
        <v>46277</v>
      </c>
      <c r="F101" t="inlineStr">
        <is>
          <t>VÄSTRA GÖTALANDS LÄN</t>
        </is>
      </c>
      <c r="G101" t="inlineStr">
        <is>
          <t>KUNGÄLV</t>
        </is>
      </c>
      <c r="I101" t="n">
        <v>4.9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t="n">
        <v>0</v>
      </c>
      <c r="S101" t="n">
        <v>0</v>
      </c>
      <c r="T101" t="n">
        <v>0</v>
      </c>
      <c r="U101" t="n">
        <v>0</v>
      </c>
      <c r="V101" s="2" t="inlineStr"/>
    </row>
    <row r="102" ht="15" customHeight="1">
      <c r="A102" t="inlineStr">
        <is>
          <t>A 32847-2023</t>
        </is>
      </c>
      <c r="B102" t="inlineStr">
        <is>
          <t>avverkningsanmälan</t>
        </is>
      </c>
      <c r="C102" t="inlineStr">
        <is>
          <t>Föryngringsavverkning</t>
        </is>
      </c>
      <c r="D102" s="1" t="n">
        <v>45124</v>
      </c>
      <c r="E102" s="1" t="n">
        <v>46277</v>
      </c>
      <c r="F102" t="inlineStr">
        <is>
          <t>VÄSTRA GÖTALANDS LÄN</t>
        </is>
      </c>
      <c r="G102" t="inlineStr">
        <is>
          <t>KUNGÄLV</t>
        </is>
      </c>
      <c r="I102" t="n">
        <v>4.7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t="n">
        <v>0</v>
      </c>
      <c r="S102" t="n">
        <v>0</v>
      </c>
      <c r="T102" t="n">
        <v>0</v>
      </c>
      <c r="U102" t="n">
        <v>0</v>
      </c>
      <c r="V102" s="2" t="inlineStr"/>
    </row>
    <row r="103">
      <c r="A103" t="inlineStr">
        <is>
          <t>S 817-2024</t>
        </is>
      </c>
      <c r="B103" t="inlineStr">
        <is>
          <t>samrådsanmälan</t>
        </is>
      </c>
      <c r="C103" t="inlineStr">
        <is>
          <t>Annan skogsbruksåtgärd</t>
        </is>
      </c>
      <c r="D103" s="1" t="n">
        <v>45371</v>
      </c>
      <c r="E103" s="1" t="n">
        <v>46277</v>
      </c>
      <c r="F103" t="inlineStr">
        <is>
          <t>VÄSTRA GÖTALANDS LÄN</t>
        </is>
      </c>
      <c r="G103" t="inlineStr">
        <is>
          <t>KUNGÄLV</t>
        </is>
      </c>
      <c r="H103" t="inlineStr">
        <is>
          <t>Övriga statliga verk och myndigheter</t>
        </is>
      </c>
      <c r="I103" t="n">
        <v>2.4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t="n">
        <v>0</v>
      </c>
      <c r="S103" t="n">
        <v>0</v>
      </c>
      <c r="T103" t="n">
        <v>0</v>
      </c>
      <c r="U103" t="n">
        <v>0</v>
      </c>
      <c r="V103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2026-09-12T02:13:10Z</dcterms:created>
  <dcterms:modified xmlns:dcterms="http://purl.org/dc/terms/" xmlns:xsi="http://www.w3.org/2001/XMLSchema-instance" xsi:type="dcterms:W3CDTF">2026-09-12T02:13:10Z</dcterms:modified>
</cp:coreProperties>
</file>