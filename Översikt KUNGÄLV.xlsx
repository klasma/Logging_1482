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45982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45982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45982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45982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45982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53007-2025</t>
        </is>
      </c>
      <c r="B9" s="1" t="n">
        <v>45957</v>
      </c>
      <c r="C9" s="1" t="n">
        <v>45982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53007-2025 artfynd.xlsx", "A 53007-2025")</f>
        <v/>
      </c>
      <c r="T9">
        <f>HYPERLINK("https://klasma.github.io/Logging_1482/kartor/A 53007-2025 karta.png", "A 53007-2025")</f>
        <v/>
      </c>
      <c r="V9">
        <f>HYPERLINK("https://klasma.github.io/Logging_1482/klagomål/A 53007-2025 FSC-klagomål.docx", "A 53007-2025")</f>
        <v/>
      </c>
      <c r="W9">
        <f>HYPERLINK("https://klasma.github.io/Logging_1482/klagomålsmail/A 53007-2025 FSC-klagomål mail.docx", "A 53007-2025")</f>
        <v/>
      </c>
      <c r="X9">
        <f>HYPERLINK("https://klasma.github.io/Logging_1482/tillsyn/A 53007-2025 tillsynsbegäran.docx", "A 53007-2025")</f>
        <v/>
      </c>
      <c r="Y9">
        <f>HYPERLINK("https://klasma.github.io/Logging_1482/tillsynsmail/A 53007-2025 tillsynsbegäran mail.docx", "A 53007-2025")</f>
        <v/>
      </c>
      <c r="Z9">
        <f>HYPERLINK("https://klasma.github.io/Logging_1482/fåglar/A 53007-2025 prioriterade fågelarter.docx", "A 53007-2025")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45982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45982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45982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45982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45982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45982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45982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45982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45982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45982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45982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45982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45982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45982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45982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45982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45982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45982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45982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45982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45982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45982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45982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45982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45982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45982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45982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45982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45982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45982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45982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32272-2023</t>
        </is>
      </c>
      <c r="B53" s="1" t="n">
        <v>45120.35368055556</v>
      </c>
      <c r="C53" s="1" t="n">
        <v>45982</v>
      </c>
      <c r="D53" t="inlineStr">
        <is>
          <t>VÄSTRA GÖTALANDS LÄN</t>
        </is>
      </c>
      <c r="E53" t="inlineStr">
        <is>
          <t>KUNGÄLV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32847-2023</t>
        </is>
      </c>
      <c r="B54" s="1" t="n">
        <v>45124.61965277778</v>
      </c>
      <c r="C54" s="1" t="n">
        <v>45982</v>
      </c>
      <c r="D54" t="inlineStr">
        <is>
          <t>VÄSTRA GÖTALANDS LÄN</t>
        </is>
      </c>
      <c r="E54" t="inlineStr">
        <is>
          <t>KUNGÄLV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19531-2023</t>
        </is>
      </c>
      <c r="B55" s="1" t="n">
        <v>45050.54896990741</v>
      </c>
      <c r="C55" s="1" t="n">
        <v>45982</v>
      </c>
      <c r="D55" t="inlineStr">
        <is>
          <t>VÄSTRA GÖTALANDS LÄN</t>
        </is>
      </c>
      <c r="E55" t="inlineStr">
        <is>
          <t>KUNGÄLV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5705-2025</t>
        </is>
      </c>
      <c r="B56" s="1" t="n">
        <v>45694</v>
      </c>
      <c r="C56" s="1" t="n">
        <v>45982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45982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25135-2025</t>
        </is>
      </c>
      <c r="B58" s="1" t="n">
        <v>45798</v>
      </c>
      <c r="C58" s="1" t="n">
        <v>45982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52932-2025</t>
        </is>
      </c>
      <c r="B59" s="1" t="n">
        <v>45957.62373842593</v>
      </c>
      <c r="C59" s="1" t="n">
        <v>45982</v>
      </c>
      <c r="D59" t="inlineStr">
        <is>
          <t>VÄSTRA GÖTALANDS LÄN</t>
        </is>
      </c>
      <c r="E59" t="inlineStr">
        <is>
          <t>KUNGÄLV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8334-2023</t>
        </is>
      </c>
      <c r="B60" s="1" t="n">
        <v>44975</v>
      </c>
      <c r="C60" s="1" t="n">
        <v>45982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32391-2025</t>
        </is>
      </c>
      <c r="B61" s="1" t="n">
        <v>45837.90662037037</v>
      </c>
      <c r="C61" s="1" t="n">
        <v>45982</v>
      </c>
      <c r="D61" t="inlineStr">
        <is>
          <t>VÄSTRA GÖTALANDS LÄN</t>
        </is>
      </c>
      <c r="E61" t="inlineStr">
        <is>
          <t>KUNGÄLV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32392-2025</t>
        </is>
      </c>
      <c r="B62" s="1" t="n">
        <v>45837.9102199074</v>
      </c>
      <c r="C62" s="1" t="n">
        <v>45982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33493-2021</t>
        </is>
      </c>
      <c r="B63" s="1" t="n">
        <v>44377</v>
      </c>
      <c r="C63" s="1" t="n">
        <v>45982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43207-2025</t>
        </is>
      </c>
      <c r="B64" s="1" t="n">
        <v>45910.45111111111</v>
      </c>
      <c r="C64" s="1" t="n">
        <v>45982</v>
      </c>
      <c r="D64" t="inlineStr">
        <is>
          <t>VÄSTRA GÖTALANDS LÄN</t>
        </is>
      </c>
      <c r="E64" t="inlineStr">
        <is>
          <t>KUNGÄLV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45124-2025</t>
        </is>
      </c>
      <c r="B65" s="1" t="n">
        <v>45919.43206018519</v>
      </c>
      <c r="C65" s="1" t="n">
        <v>45982</v>
      </c>
      <c r="D65" t="inlineStr">
        <is>
          <t>VÄSTRA GÖTALANDS LÄN</t>
        </is>
      </c>
      <c r="E65" t="inlineStr">
        <is>
          <t>KUNGÄLV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45982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45982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33244-2021</t>
        </is>
      </c>
      <c r="B68" s="1" t="n">
        <v>44377</v>
      </c>
      <c r="C68" s="1" t="n">
        <v>45982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34244-2025</t>
        </is>
      </c>
      <c r="B69" s="1" t="n">
        <v>45844</v>
      </c>
      <c r="C69" s="1" t="n">
        <v>45982</v>
      </c>
      <c r="D69" t="inlineStr">
        <is>
          <t>VÄSTRA GÖTALANDS LÄN</t>
        </is>
      </c>
      <c r="E69" t="inlineStr">
        <is>
          <t>KUNGÄLV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45982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36055-2025</t>
        </is>
      </c>
      <c r="B71" s="1" t="n">
        <v>45866</v>
      </c>
      <c r="C71" s="1" t="n">
        <v>45982</v>
      </c>
      <c r="D71" t="inlineStr">
        <is>
          <t>VÄSTRA GÖTALANDS LÄN</t>
        </is>
      </c>
      <c r="E71" t="inlineStr">
        <is>
          <t>KUNGÄLV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41442-2025</t>
        </is>
      </c>
      <c r="B72" s="1" t="n">
        <v>45869</v>
      </c>
      <c r="C72" s="1" t="n">
        <v>45982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6096-2025</t>
        </is>
      </c>
      <c r="B73" s="1" t="n">
        <v>45697</v>
      </c>
      <c r="C73" s="1" t="n">
        <v>45982</v>
      </c>
      <c r="D73" t="inlineStr">
        <is>
          <t>VÄSTRA GÖTALANDS LÄN</t>
        </is>
      </c>
      <c r="E73" t="inlineStr">
        <is>
          <t>KUNGÄLV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46588-2025</t>
        </is>
      </c>
      <c r="B74" s="1" t="n">
        <v>45926.39152777778</v>
      </c>
      <c r="C74" s="1" t="n">
        <v>45982</v>
      </c>
      <c r="D74" t="inlineStr">
        <is>
          <t>VÄSTRA GÖTALANDS LÄN</t>
        </is>
      </c>
      <c r="E74" t="inlineStr">
        <is>
          <t>KUNGÄLV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47564-2025</t>
        </is>
      </c>
      <c r="B75" s="1" t="n">
        <v>45931.38982638889</v>
      </c>
      <c r="C75" s="1" t="n">
        <v>45982</v>
      </c>
      <c r="D75" t="inlineStr">
        <is>
          <t>VÄSTRA GÖTALANDS LÄN</t>
        </is>
      </c>
      <c r="E75" t="inlineStr">
        <is>
          <t>KUNGÄLV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47569-2025</t>
        </is>
      </c>
      <c r="B76" s="1" t="n">
        <v>45931.39331018519</v>
      </c>
      <c r="C76" s="1" t="n">
        <v>45982</v>
      </c>
      <c r="D76" t="inlineStr">
        <is>
          <t>VÄSTRA GÖTALANDS LÄN</t>
        </is>
      </c>
      <c r="E76" t="inlineStr">
        <is>
          <t>KUNGÄLV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45982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45982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45982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57116-2025</t>
        </is>
      </c>
      <c r="B80" s="1" t="n">
        <v>45979.46130787037</v>
      </c>
      <c r="C80" s="1" t="n">
        <v>45982</v>
      </c>
      <c r="D80" t="inlineStr">
        <is>
          <t>VÄSTRA GÖTALANDS LÄN</t>
        </is>
      </c>
      <c r="E80" t="inlineStr">
        <is>
          <t>KUNGÄLV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50071-2023</t>
        </is>
      </c>
      <c r="B81" s="1" t="n">
        <v>45215</v>
      </c>
      <c r="C81" s="1" t="n">
        <v>45982</v>
      </c>
      <c r="D81" t="inlineStr">
        <is>
          <t>VÄSTRA GÖTALANDS LÄN</t>
        </is>
      </c>
      <c r="E81" t="inlineStr">
        <is>
          <t>KUNGÄLV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45982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56782-2022</t>
        </is>
      </c>
      <c r="B83" s="1" t="n">
        <v>44894.39475694444</v>
      </c>
      <c r="C83" s="1" t="n">
        <v>45982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1995-2024</t>
        </is>
      </c>
      <c r="B84" s="1" t="n">
        <v>45308</v>
      </c>
      <c r="C84" s="1" t="n">
        <v>45982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30170-2022</t>
        </is>
      </c>
      <c r="B85" s="1" t="n">
        <v>44757</v>
      </c>
      <c r="C85" s="1" t="n">
        <v>45982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10810-2023</t>
        </is>
      </c>
      <c r="B86" s="1" t="n">
        <v>44989.75795138889</v>
      </c>
      <c r="C86" s="1" t="n">
        <v>45982</v>
      </c>
      <c r="D86" t="inlineStr">
        <is>
          <t>VÄSTRA GÖTALANDS LÄN</t>
        </is>
      </c>
      <c r="E86" t="inlineStr">
        <is>
          <t>KUNGÄLV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4204-2024</t>
        </is>
      </c>
      <c r="B87" s="1" t="n">
        <v>45324.36422453704</v>
      </c>
      <c r="C87" s="1" t="n">
        <v>45982</v>
      </c>
      <c r="D87" t="inlineStr">
        <is>
          <t>VÄSTRA GÖTALANDS LÄN</t>
        </is>
      </c>
      <c r="E87" t="inlineStr">
        <is>
          <t>KUNGÄLV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55830-2024</t>
        </is>
      </c>
      <c r="B88" s="1" t="n">
        <v>45623.48478009259</v>
      </c>
      <c r="C88" s="1" t="n">
        <v>45982</v>
      </c>
      <c r="D88" t="inlineStr">
        <is>
          <t>VÄSTRA GÖTALANDS LÄN</t>
        </is>
      </c>
      <c r="E88" t="inlineStr">
        <is>
          <t>KUNGÄLV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45982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45982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13529-2024</t>
        </is>
      </c>
      <c r="B91" s="1" t="n">
        <v>45387.84504629629</v>
      </c>
      <c r="C91" s="1" t="n">
        <v>45982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44176-2023</t>
        </is>
      </c>
      <c r="B92" s="1" t="n">
        <v>45188</v>
      </c>
      <c r="C92" s="1" t="n">
        <v>45982</v>
      </c>
      <c r="D92" t="inlineStr">
        <is>
          <t>VÄSTRA GÖTALANDS LÄN</t>
        </is>
      </c>
      <c r="E92" t="inlineStr">
        <is>
          <t>KUNGÄLV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45982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29801-2022</t>
        </is>
      </c>
      <c r="B94" s="1" t="n">
        <v>44755.70518518519</v>
      </c>
      <c r="C94" s="1" t="n">
        <v>45982</v>
      </c>
      <c r="D94" t="inlineStr">
        <is>
          <t>VÄSTRA GÖTALANDS LÄN</t>
        </is>
      </c>
      <c r="E94" t="inlineStr">
        <is>
          <t>KUNGÄLV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18852-2024</t>
        </is>
      </c>
      <c r="B95" s="1" t="n">
        <v>45426.69550925926</v>
      </c>
      <c r="C95" s="1" t="n">
        <v>45982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44837.37417824074</v>
      </c>
      <c r="C96" s="1" t="n">
        <v>45982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45982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45982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45982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45982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45982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45982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45982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45982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45982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45982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45982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45982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45982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45982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45982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45982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3026-2021</t>
        </is>
      </c>
      <c r="B113" s="1" t="n">
        <v>44216</v>
      </c>
      <c r="C113" s="1" t="n">
        <v>45982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34366-2022</t>
        </is>
      </c>
      <c r="B114" s="1" t="n">
        <v>44792</v>
      </c>
      <c r="C114" s="1" t="n">
        <v>45982</v>
      </c>
      <c r="D114" t="inlineStr">
        <is>
          <t>VÄSTRA GÖTALANDS LÄN</t>
        </is>
      </c>
      <c r="E114" t="inlineStr">
        <is>
          <t>KUNGÄLV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5631-2024</t>
        </is>
      </c>
      <c r="B115" s="1" t="n">
        <v>45334.61013888889</v>
      </c>
      <c r="C115" s="1" t="n">
        <v>45982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21579-2025</t>
        </is>
      </c>
      <c r="B116" s="1" t="n">
        <v>45782.91234953704</v>
      </c>
      <c r="C116" s="1" t="n">
        <v>45982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2025-11-21T19:54:14Z</dcterms:created>
  <dcterms:modified xmlns:dcterms="http://purl.org/dc/terms/" xmlns:xsi="http://www.w3.org/2001/XMLSchema-instance" xsi:type="dcterms:W3CDTF">2025-11-21T19:54:14Z</dcterms:modified>
</cp:coreProperties>
</file>