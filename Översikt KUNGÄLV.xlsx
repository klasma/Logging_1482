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46289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46289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46289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46289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46289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4263-2024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45324</v>
      </c>
      <c r="E7" s="1" t="n">
        <v>46289</v>
      </c>
      <c r="F7" t="inlineStr">
        <is>
          <t>VÄSTRA GÖTALANDS LÄN</t>
        </is>
      </c>
      <c r="G7" t="inlineStr">
        <is>
          <t>KUNGÄLV</t>
        </is>
      </c>
      <c r="I7" t="n">
        <v>2.6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6</v>
      </c>
      <c r="U7" t="n">
        <v>6</v>
      </c>
      <c r="V7" s="2" t="inlineStr">
        <is>
          <t>Mindre hackspett
Klippfrullania
Gråsiska
Spillkråka</t>
        </is>
      </c>
      <c r="W7">
        <f>HYPERLINK("https://klasma.github.io/Logging_1482/artfynd/A 4263-2024 artfynd.xlsx", "A 4263-2024")</f>
        <v/>
      </c>
      <c r="X7">
        <f>HYPERLINK("https://klasma.github.io/Logging_1482/kartor/A 4263-2024 karta.png", "A 4263-2024")</f>
        <v/>
      </c>
      <c r="Y7">
        <f>HYPERLINK("https://klasma.github.io/Logging_1482/kartor_geotiff/A 4263-2024 georefererad karta.tif", "A 4263-2024")</f>
        <v/>
      </c>
      <c r="AA7">
        <f>HYPERLINK("https://klasma.github.io/Logging_1482/klagomål/A 4263-2024 FSC-klagomål.docx", "A 4263-2024")</f>
        <v/>
      </c>
      <c r="AB7">
        <f>HYPERLINK("https://klasma.github.io/Logging_1482/klagomålsmail/A 4263-2024 FSC-klagomål mail.docx", "A 4263-2024")</f>
        <v/>
      </c>
      <c r="AC7">
        <f>HYPERLINK("https://klasma.github.io/Logging_1482/tillsyn/A 4263-2024 tillsynsbegäran.docx", "A 4263-2024")</f>
        <v/>
      </c>
      <c r="AD7">
        <f>HYPERLINK("https://klasma.github.io/Logging_1482/tillsynsmail/A 4263-2024 tillsynsbegäran mail.docx", "A 4263-2024")</f>
        <v/>
      </c>
      <c r="AE7">
        <f>HYPERLINK("https://klasma.github.io/Logging_1482/fåglar/A 4263-2024 prioriterade fågelarter.docx", "A 4263-2024")</f>
        <v/>
      </c>
    </row>
    <row r="8" ht="15" customHeight="1">
      <c r="A8" t="inlineStr">
        <is>
          <t>A 59985-2025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46289</v>
      </c>
      <c r="F8" t="inlineStr">
        <is>
          <t>VÄSTRA GÖTALANDS LÄN</t>
        </is>
      </c>
      <c r="G8" t="inlineStr">
        <is>
          <t>KUNGÄLV</t>
        </is>
      </c>
      <c r="I8" t="n">
        <v>5.3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19</v>
      </c>
      <c r="U8" t="n">
        <v>19</v>
      </c>
      <c r="V8" s="2" t="inlineStr">
        <is>
          <t>Blåmossa
Västlig hakmossa
Spillkråka
Äkta lopplummer</t>
        </is>
      </c>
      <c r="W8">
        <f>HYPERLINK("https://klasma.github.io/Logging_1482/artfynd/A 59985-2025 artfynd.xlsx", "A 59985-2025")</f>
        <v/>
      </c>
      <c r="X8">
        <f>HYPERLINK("https://klasma.github.io/Logging_1482/kartor/A 59985-2025 karta.png", "A 59985-2025")</f>
        <v/>
      </c>
      <c r="Y8">
        <f>HYPERLINK("https://klasma.github.io/Logging_1482/kartor_geotiff/A 59985-2025 georefererad karta.tif", "A 59985-2025")</f>
        <v/>
      </c>
      <c r="AA8">
        <f>HYPERLINK("https://klasma.github.io/Logging_1482/klagomål/A 59985-2025 FSC-klagomål.docx", "A 59985-2025")</f>
        <v/>
      </c>
      <c r="AB8">
        <f>HYPERLINK("https://klasma.github.io/Logging_1482/klagomålsmail/A 59985-2025 FSC-klagomål mail.docx", "A 59985-2025")</f>
        <v/>
      </c>
      <c r="AC8">
        <f>HYPERLINK("https://klasma.github.io/Logging_1482/tillsyn/A 59985-2025 tillsynsbegäran.docx", "A 59985-2025")</f>
        <v/>
      </c>
      <c r="AD8">
        <f>HYPERLINK("https://klasma.github.io/Logging_1482/tillsynsmail/A 59985-2025 tillsynsbegäran mail.docx", "A 59985-2025")</f>
        <v/>
      </c>
      <c r="AE8">
        <f>HYPERLINK("https://klasma.github.io/Logging_1482/fåglar/A 59985-2025 prioriterade fågelarter.docx", "A 59985-2025")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46289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46289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46289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46289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46289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46289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46289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46289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46289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46289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46289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46289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46289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46289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23704-2024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45454</v>
      </c>
      <c r="E23" s="1" t="n">
        <v>46289</v>
      </c>
      <c r="F23" t="inlineStr">
        <is>
          <t>VÄSTRA GÖTALANDS LÄN</t>
        </is>
      </c>
      <c r="G23" t="inlineStr">
        <is>
          <t>KUNGÄLV</t>
        </is>
      </c>
      <c r="I23" t="n">
        <v>4.9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Hedjohannesört</t>
        </is>
      </c>
      <c r="W23">
        <f>HYPERLINK("https://klasma.github.io/Logging_1482/artfynd/A 23704-2024 artfynd.xlsx", "A 23704-2024")</f>
        <v/>
      </c>
      <c r="X23">
        <f>HYPERLINK("https://klasma.github.io/Logging_1482/kartor/A 23704-2024 karta.png", "A 23704-2024")</f>
        <v/>
      </c>
      <c r="Y23">
        <f>HYPERLINK("https://klasma.github.io/Logging_1482/kartor_geotiff/A 23704-2024 georefererad karta.tif", "A 23704-2024")</f>
        <v/>
      </c>
      <c r="AA23">
        <f>HYPERLINK("https://klasma.github.io/Logging_1482/klagomål/A 23704-2024 FSC-klagomål.docx", "A 23704-2024")</f>
        <v/>
      </c>
      <c r="AB23">
        <f>HYPERLINK("https://klasma.github.io/Logging_1482/klagomålsmail/A 23704-2024 FSC-klagomål mail.docx", "A 23704-2024")</f>
        <v/>
      </c>
      <c r="AC23">
        <f>HYPERLINK("https://klasma.github.io/Logging_1482/tillsyn/A 23704-2024 tillsynsbegäran.docx", "A 23704-2024")</f>
        <v/>
      </c>
      <c r="AD23">
        <f>HYPERLINK("https://klasma.github.io/Logging_1482/tillsynsmail/A 23704-2024 tillsynsbegäran mail.docx", "A 23704-2024")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46289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46289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46289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46289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46289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46289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46289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45664</v>
      </c>
      <c r="E31" s="1" t="n">
        <v>46289</v>
      </c>
      <c r="F31" t="inlineStr">
        <is>
          <t>VÄSTRA GÖTALANDS LÄN</t>
        </is>
      </c>
      <c r="G31" t="inlineStr">
        <is>
          <t>KUNGÄLV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46289</v>
      </c>
      <c r="F32" t="inlineStr">
        <is>
          <t>VÄSTRA GÖTALANDS LÄN</t>
        </is>
      </c>
      <c r="G32" t="inlineStr">
        <is>
          <t>KUNGÄLV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4204-2024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46289</v>
      </c>
      <c r="F33" t="inlineStr">
        <is>
          <t>VÄSTRA GÖTALANDS LÄN</t>
        </is>
      </c>
      <c r="G33" t="inlineStr">
        <is>
          <t>KUNGÄLV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10679-2025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45721</v>
      </c>
      <c r="E34" s="1" t="n">
        <v>46289</v>
      </c>
      <c r="F34" t="inlineStr">
        <is>
          <t>VÄSTRA GÖTALANDS LÄN</t>
        </is>
      </c>
      <c r="G34" t="inlineStr">
        <is>
          <t>KUNGÄLV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30170-2022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44757</v>
      </c>
      <c r="E35" s="1" t="n">
        <v>46289</v>
      </c>
      <c r="F35" t="inlineStr">
        <is>
          <t>VÄSTRA GÖTALANDS LÄN</t>
        </is>
      </c>
      <c r="G35" t="inlineStr">
        <is>
          <t>KUNGÄLV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45726</v>
      </c>
      <c r="E36" s="1" t="n">
        <v>46289</v>
      </c>
      <c r="F36" t="inlineStr">
        <is>
          <t>VÄSTRA GÖTALANDS LÄN</t>
        </is>
      </c>
      <c r="G36" t="inlineStr">
        <is>
          <t>KUNGÄLV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46289</v>
      </c>
      <c r="F37" t="inlineStr">
        <is>
          <t>VÄSTRA GÖTALANDS LÄN</t>
        </is>
      </c>
      <c r="G37" t="inlineStr">
        <is>
          <t>KUNGÄLV</t>
        </is>
      </c>
      <c r="I37" t="n">
        <v>7.4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45758</v>
      </c>
      <c r="E38" s="1" t="n">
        <v>46289</v>
      </c>
      <c r="F38" t="inlineStr">
        <is>
          <t>VÄSTRA GÖTALANDS LÄN</t>
        </is>
      </c>
      <c r="G38" t="inlineStr">
        <is>
          <t>KUNGÄLV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74285-2021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44558</v>
      </c>
      <c r="E39" s="1" t="n">
        <v>46289</v>
      </c>
      <c r="F39" t="inlineStr">
        <is>
          <t>VÄSTRA GÖTALANDS LÄN</t>
        </is>
      </c>
      <c r="G39" t="inlineStr">
        <is>
          <t>KUNGÄLV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13880-2024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45391</v>
      </c>
      <c r="E40" s="1" t="n">
        <v>46289</v>
      </c>
      <c r="F40" t="inlineStr">
        <is>
          <t>VÄSTRA GÖTALANDS LÄN</t>
        </is>
      </c>
      <c r="G40" t="inlineStr">
        <is>
          <t>KUNGÄLV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45308</v>
      </c>
      <c r="E41" s="1" t="n">
        <v>46289</v>
      </c>
      <c r="F41" t="inlineStr">
        <is>
          <t>VÄSTRA GÖTALANDS LÄN</t>
        </is>
      </c>
      <c r="G41" t="inlineStr">
        <is>
          <t>KUNGÄLV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24461-2023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45082</v>
      </c>
      <c r="E42" s="1" t="n">
        <v>46289</v>
      </c>
      <c r="F42" t="inlineStr">
        <is>
          <t>VÄSTRA GÖTALANDS LÄN</t>
        </is>
      </c>
      <c r="G42" t="inlineStr">
        <is>
          <t>KUNGÄLV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45990-2022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46289</v>
      </c>
      <c r="F43" t="inlineStr">
        <is>
          <t>VÄSTRA GÖTALANDS LÄN</t>
        </is>
      </c>
      <c r="G43" t="inlineStr">
        <is>
          <t>KUNGÄLV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44928</v>
      </c>
      <c r="E44" s="1" t="n">
        <v>46289</v>
      </c>
      <c r="F44" t="inlineStr">
        <is>
          <t>VÄSTRA GÖTALANDS LÄN</t>
        </is>
      </c>
      <c r="G44" t="inlineStr">
        <is>
          <t>KUNGÄLV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63319-2021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46289</v>
      </c>
      <c r="F45" t="inlineStr">
        <is>
          <t>VÄSTRA GÖTALANDS LÄN</t>
        </is>
      </c>
      <c r="G45" t="inlineStr">
        <is>
          <t>KUNGÄLV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46289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7505-2024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45347</v>
      </c>
      <c r="E47" s="1" t="n">
        <v>46289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43520-2022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44837</v>
      </c>
      <c r="E48" s="1" t="n">
        <v>46289</v>
      </c>
      <c r="F48" t="inlineStr">
        <is>
          <t>VÄSTRA GÖTALANDS LÄN</t>
        </is>
      </c>
      <c r="G48" t="inlineStr">
        <is>
          <t>KUNGÄLV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46289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29223-2024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45482</v>
      </c>
      <c r="E50" s="1" t="n">
        <v>46289</v>
      </c>
      <c r="F50" t="inlineStr">
        <is>
          <t>VÄSTRA GÖTALANDS LÄN</t>
        </is>
      </c>
      <c r="G50" t="inlineStr">
        <is>
          <t>KUNGÄLV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61417-2022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44916</v>
      </c>
      <c r="E51" s="1" t="n">
        <v>46289</v>
      </c>
      <c r="F51" t="inlineStr">
        <is>
          <t>VÄSTRA GÖTALANDS LÄN</t>
        </is>
      </c>
      <c r="G51" t="inlineStr">
        <is>
          <t>KUNGÄLV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45120</v>
      </c>
      <c r="E52" s="1" t="n">
        <v>46289</v>
      </c>
      <c r="F52" t="inlineStr">
        <is>
          <t>VÄSTRA GÖTALANDS LÄN</t>
        </is>
      </c>
      <c r="G52" t="inlineStr">
        <is>
          <t>KUNGÄLV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46289</v>
      </c>
      <c r="F53" t="inlineStr">
        <is>
          <t>VÄSTRA GÖTALANDS LÄN</t>
        </is>
      </c>
      <c r="G53" t="inlineStr">
        <is>
          <t>KUNGÄLV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32847-2023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46289</v>
      </c>
      <c r="F54" t="inlineStr">
        <is>
          <t>VÄSTRA GÖTALANDS LÄN</t>
        </is>
      </c>
      <c r="G54" t="inlineStr">
        <is>
          <t>KUNGÄLV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44624</v>
      </c>
      <c r="E55" s="1" t="n">
        <v>46289</v>
      </c>
      <c r="F55" t="inlineStr">
        <is>
          <t>VÄSTRA GÖTALANDS LÄN</t>
        </is>
      </c>
      <c r="G55" t="inlineStr">
        <is>
          <t>KUNGÄLV</t>
        </is>
      </c>
      <c r="I55" t="n">
        <v>13.3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45757</v>
      </c>
      <c r="E56" s="1" t="n">
        <v>46289</v>
      </c>
      <c r="F56" t="inlineStr">
        <is>
          <t>VÄSTRA GÖTALANDS LÄN</t>
        </is>
      </c>
      <c r="G56" t="inlineStr">
        <is>
          <t>KUNGÄLV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8334-2023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44975</v>
      </c>
      <c r="E57" s="1" t="n">
        <v>46289</v>
      </c>
      <c r="F57" t="inlineStr">
        <is>
          <t>VÄSTRA GÖTALANDS LÄN</t>
        </is>
      </c>
      <c r="G57" t="inlineStr">
        <is>
          <t>KUNGÄLV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46289</v>
      </c>
      <c r="F58" t="inlineStr">
        <is>
          <t>VÄSTRA GÖTALANDS LÄN</t>
        </is>
      </c>
      <c r="G58" t="inlineStr">
        <is>
          <t>KUNGÄLV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19531-2023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45050</v>
      </c>
      <c r="E59" s="1" t="n">
        <v>46289</v>
      </c>
      <c r="F59" t="inlineStr">
        <is>
          <t>VÄSTRA GÖTALANDS LÄN</t>
        </is>
      </c>
      <c r="G59" t="inlineStr">
        <is>
          <t>KUNGÄLV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45694</v>
      </c>
      <c r="E60" s="1" t="n">
        <v>46289</v>
      </c>
      <c r="F60" t="inlineStr">
        <is>
          <t>VÄSTRA GÖTALANDS LÄN</t>
        </is>
      </c>
      <c r="G60" t="inlineStr">
        <is>
          <t>KUNGÄLV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62979-2023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45271</v>
      </c>
      <c r="E61" s="1" t="n">
        <v>46289</v>
      </c>
      <c r="F61" t="inlineStr">
        <is>
          <t>VÄSTRA GÖTALANDS LÄN</t>
        </is>
      </c>
      <c r="G61" t="inlineStr">
        <is>
          <t>KUNGÄLV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45324</v>
      </c>
      <c r="E62" s="1" t="n">
        <v>46289</v>
      </c>
      <c r="F62" t="inlineStr">
        <is>
          <t>VÄSTRA GÖTALANDS LÄN</t>
        </is>
      </c>
      <c r="G62" t="inlineStr">
        <is>
          <t>KUNGÄLV</t>
        </is>
      </c>
      <c r="I62" t="n">
        <v>14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45751</v>
      </c>
      <c r="E63" s="1" t="n">
        <v>46289</v>
      </c>
      <c r="F63" t="inlineStr">
        <is>
          <t>VÄSTRA GÖTALANDS LÄN</t>
        </is>
      </c>
      <c r="G63" t="inlineStr">
        <is>
          <t>KUNGÄLV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46289</v>
      </c>
      <c r="F64" t="inlineStr">
        <is>
          <t>VÄSTRA GÖTALANDS LÄN</t>
        </is>
      </c>
      <c r="G64" t="inlineStr">
        <is>
          <t>KUNGÄLV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45215</v>
      </c>
      <c r="E65" s="1" t="n">
        <v>46289</v>
      </c>
      <c r="F65" t="inlineStr">
        <is>
          <t>VÄSTRA GÖTALANDS LÄN</t>
        </is>
      </c>
      <c r="G65" t="inlineStr">
        <is>
          <t>KUNGÄLV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34366-2022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44792</v>
      </c>
      <c r="E66" s="1" t="n">
        <v>46289</v>
      </c>
      <c r="F66" t="inlineStr">
        <is>
          <t>VÄSTRA GÖTALANDS LÄN</t>
        </is>
      </c>
      <c r="G66" t="inlineStr">
        <is>
          <t>KUNGÄLV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46048</v>
      </c>
      <c r="E67" s="1" t="n">
        <v>46289</v>
      </c>
      <c r="F67" t="inlineStr">
        <is>
          <t>VÄSTRA GÖTALANDS LÄN</t>
        </is>
      </c>
      <c r="G67" t="inlineStr">
        <is>
          <t>KUNGÄLV</t>
        </is>
      </c>
      <c r="I67" t="n">
        <v>8.199999999999999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71835-2021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44543</v>
      </c>
      <c r="E68" s="1" t="n">
        <v>46289</v>
      </c>
      <c r="F68" t="inlineStr">
        <is>
          <t>VÄSTRA GÖTALANDS LÄN</t>
        </is>
      </c>
      <c r="G68" t="inlineStr">
        <is>
          <t>KUNGÄLV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6946-2026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46057</v>
      </c>
      <c r="E69" s="1" t="n">
        <v>46289</v>
      </c>
      <c r="F69" t="inlineStr">
        <is>
          <t>VÄSTRA GÖTALANDS LÄN</t>
        </is>
      </c>
      <c r="G69" t="inlineStr">
        <is>
          <t>KUNGÄLV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45877</v>
      </c>
      <c r="E70" s="1" t="n">
        <v>46289</v>
      </c>
      <c r="F70" t="inlineStr">
        <is>
          <t>VÄSTRA GÖTALANDS LÄN</t>
        </is>
      </c>
      <c r="G70" t="inlineStr">
        <is>
          <t>KUNGÄLV</t>
        </is>
      </c>
      <c r="H70" t="inlineStr">
        <is>
          <t>Kyrkan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56782-2022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44894</v>
      </c>
      <c r="E71" s="1" t="n">
        <v>46289</v>
      </c>
      <c r="F71" t="inlineStr">
        <is>
          <t>VÄSTRA GÖTALANDS LÄN</t>
        </is>
      </c>
      <c r="G71" t="inlineStr">
        <is>
          <t>KUNGÄLV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45844</v>
      </c>
      <c r="E72" s="1" t="n">
        <v>46289</v>
      </c>
      <c r="F72" t="inlineStr">
        <is>
          <t>VÄSTRA GÖTALANDS LÄN</t>
        </is>
      </c>
      <c r="G72" t="inlineStr">
        <is>
          <t>KUNGÄLV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13990-2026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46289</v>
      </c>
      <c r="F73" t="inlineStr">
        <is>
          <t>VÄSTRA GÖTALANDS LÄN</t>
        </is>
      </c>
      <c r="G73" t="inlineStr">
        <is>
          <t>KUNGÄLV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25624-2025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45803</v>
      </c>
      <c r="E74" s="1" t="n">
        <v>46289</v>
      </c>
      <c r="F74" t="inlineStr">
        <is>
          <t>VÄSTRA GÖTALANDS LÄN</t>
        </is>
      </c>
      <c r="G74" t="inlineStr">
        <is>
          <t>KUNGÄLV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45470</v>
      </c>
      <c r="E75" s="1" t="n">
        <v>46289</v>
      </c>
      <c r="F75" t="inlineStr">
        <is>
          <t>VÄSTRA GÖTALANDS LÄN</t>
        </is>
      </c>
      <c r="G75" t="inlineStr">
        <is>
          <t>KUNGÄLV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41442-2025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45869</v>
      </c>
      <c r="E76" s="1" t="n">
        <v>46289</v>
      </c>
      <c r="F76" t="inlineStr">
        <is>
          <t>VÄSTRA GÖTALANDS LÄN</t>
        </is>
      </c>
      <c r="G76" t="inlineStr">
        <is>
          <t>KUNGÄLV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46289</v>
      </c>
      <c r="F77" t="inlineStr">
        <is>
          <t>VÄSTRA GÖTALANDS LÄN</t>
        </is>
      </c>
      <c r="G77" t="inlineStr">
        <is>
          <t>KUNGÄLV</t>
        </is>
      </c>
      <c r="I77" t="n">
        <v>8.199999999999999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10810-2023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44989</v>
      </c>
      <c r="E78" s="1" t="n">
        <v>46289</v>
      </c>
      <c r="F78" t="inlineStr">
        <is>
          <t>VÄSTRA GÖTALANDS LÄN</t>
        </is>
      </c>
      <c r="G78" t="inlineStr">
        <is>
          <t>KUNGÄLV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46289</v>
      </c>
      <c r="F79" t="inlineStr">
        <is>
          <t>VÄSTRA GÖTALANDS LÄN</t>
        </is>
      </c>
      <c r="G79" t="inlineStr">
        <is>
          <t>KUNGÄLV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62128-2021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46289</v>
      </c>
      <c r="F80" t="inlineStr">
        <is>
          <t>VÄSTRA GÖTALANDS LÄN</t>
        </is>
      </c>
      <c r="G80" t="inlineStr">
        <is>
          <t>KUNGÄLV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45058</v>
      </c>
      <c r="E81" s="1" t="n">
        <v>46289</v>
      </c>
      <c r="F81" t="inlineStr">
        <is>
          <t>VÄSTRA GÖTALANDS LÄN</t>
        </is>
      </c>
      <c r="G81" t="inlineStr">
        <is>
          <t>KUNGÄLV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45426</v>
      </c>
      <c r="E82" s="1" t="n">
        <v>46289</v>
      </c>
      <c r="F82" t="inlineStr">
        <is>
          <t>VÄSTRA GÖTALANDS LÄN</t>
        </is>
      </c>
      <c r="G82" t="inlineStr">
        <is>
          <t>KUNGÄLV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45063</v>
      </c>
      <c r="E83" s="1" t="n">
        <v>46289</v>
      </c>
      <c r="F83" t="inlineStr">
        <is>
          <t>VÄSTRA GÖTALANDS LÄN</t>
        </is>
      </c>
      <c r="G83" t="inlineStr">
        <is>
          <t>KUNGÄLV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45188</v>
      </c>
      <c r="E84" s="1" t="n">
        <v>46289</v>
      </c>
      <c r="F84" t="inlineStr">
        <is>
          <t>VÄSTRA GÖTALANDS LÄN</t>
        </is>
      </c>
      <c r="G84" t="inlineStr">
        <is>
          <t>KUNGÄLV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45453</v>
      </c>
      <c r="E85" s="1" t="n">
        <v>46289</v>
      </c>
      <c r="F85" t="inlineStr">
        <is>
          <t>VÄSTRA GÖTALANDS LÄN</t>
        </is>
      </c>
      <c r="G85" t="inlineStr">
        <is>
          <t>KUNGÄLV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39714-2024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45552</v>
      </c>
      <c r="E86" s="1" t="n">
        <v>46289</v>
      </c>
      <c r="F86" t="inlineStr">
        <is>
          <t>VÄSTRA GÖTALANDS LÄN</t>
        </is>
      </c>
      <c r="G86" t="inlineStr">
        <is>
          <t>KUNGÄLV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46289</v>
      </c>
      <c r="F87" t="inlineStr">
        <is>
          <t>VÄSTRA GÖTALANDS LÄN</t>
        </is>
      </c>
      <c r="G87" t="inlineStr">
        <is>
          <t>KUNGÄLV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46289</v>
      </c>
      <c r="F88" t="inlineStr">
        <is>
          <t>VÄSTRA GÖTALANDS LÄN</t>
        </is>
      </c>
      <c r="G88" t="inlineStr">
        <is>
          <t>KUNGÄLV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46157</v>
      </c>
      <c r="E89" s="1" t="n">
        <v>46289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45837</v>
      </c>
      <c r="E90" s="1" t="n">
        <v>46289</v>
      </c>
      <c r="F90" t="inlineStr">
        <is>
          <t>VÄSTRA GÖTALANDS LÄN</t>
        </is>
      </c>
      <c r="G90" t="inlineStr">
        <is>
          <t>KUNGÄLV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46163</v>
      </c>
      <c r="E91" s="1" t="n">
        <v>46289</v>
      </c>
      <c r="F91" t="inlineStr">
        <is>
          <t>VÄSTRA GÖTALANDS LÄN</t>
        </is>
      </c>
      <c r="G91" t="inlineStr">
        <is>
          <t>KUNGÄLV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25135-2025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45798</v>
      </c>
      <c r="E92" s="1" t="n">
        <v>46289</v>
      </c>
      <c r="F92" t="inlineStr">
        <is>
          <t>VÄSTRA GÖTALANDS LÄN</t>
        </is>
      </c>
      <c r="G92" t="inlineStr">
        <is>
          <t>KUNGÄLV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46289</v>
      </c>
      <c r="F93" t="inlineStr">
        <is>
          <t>VÄSTRA GÖTALANDS LÄN</t>
        </is>
      </c>
      <c r="G93" t="inlineStr">
        <is>
          <t>KUNGÄLV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46289</v>
      </c>
      <c r="F94" t="inlineStr">
        <is>
          <t>VÄSTRA GÖTALANDS LÄN</t>
        </is>
      </c>
      <c r="G94" t="inlineStr">
        <is>
          <t>KUNGÄLV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30738-2026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46211</v>
      </c>
      <c r="E95" s="1" t="n">
        <v>46289</v>
      </c>
      <c r="F95" t="inlineStr">
        <is>
          <t>VÄSTRA GÖTALANDS LÄN</t>
        </is>
      </c>
      <c r="G95" t="inlineStr">
        <is>
          <t>KUNGÄLV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30859-2026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46212</v>
      </c>
      <c r="E96" s="1" t="n">
        <v>46289</v>
      </c>
      <c r="F96" t="inlineStr">
        <is>
          <t>VÄSTRA GÖTALANDS LÄN</t>
        </is>
      </c>
      <c r="G96" t="inlineStr">
        <is>
          <t>KUNGÄLV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46289</v>
      </c>
      <c r="F97" t="inlineStr">
        <is>
          <t>VÄSTRA GÖTALANDS LÄN</t>
        </is>
      </c>
      <c r="G97" t="inlineStr">
        <is>
          <t>KUNGÄLV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46289</v>
      </c>
      <c r="F98" t="inlineStr">
        <is>
          <t>VÄSTRA GÖTALANDS LÄN</t>
        </is>
      </c>
      <c r="G98" t="inlineStr">
        <is>
          <t>KUNGÄLV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46289</v>
      </c>
      <c r="F99" t="inlineStr">
        <is>
          <t>VÄSTRA GÖTALANDS LÄN</t>
        </is>
      </c>
      <c r="G99" t="inlineStr">
        <is>
          <t>KUNGÄLV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38262-2026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46289</v>
      </c>
      <c r="F100" t="inlineStr">
        <is>
          <t>VÄSTRA GÖTALANDS LÄN</t>
        </is>
      </c>
      <c r="G100" t="inlineStr">
        <is>
          <t>KUNGÄLV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46289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2026-09-24T01:54:02Z</dcterms:created>
  <dcterms:modified xmlns:dcterms="http://purl.org/dc/terms/" xmlns:xsi="http://www.w3.org/2001/XMLSchema-instance" xsi:type="dcterms:W3CDTF">2026-09-24T01:54:02Z</dcterms:modified>
</cp:coreProperties>
</file>