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11</v>
      </c>
      <c r="U3" t="n">
        <v>8</v>
      </c>
      <c r="V3" s="2" t="inlineStr">
        <is>
          <t>Entita
Grönsångare
Sädesärla
Vedtrappmossa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46230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46230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46230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46230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46230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46230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46230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HYPERLINK("https://klasma.github.io/Logging_1482/artfynd/A 48345-2021 artfynd.xlsx", "A 48345-2021")</f>
        <v/>
      </c>
      <c r="X12">
        <f>HYPERLINK("https://klasma.github.io/Logging_1482/kartor/A 48345-2021 karta.png", "A 48345-2021")</f>
        <v/>
      </c>
      <c r="Y12">
        <f>HYPERLINK("https://klasma.github.io/Logging_1482/kartor_geotiff/A 48345-2021 georefererad karta.tif", "A 48345-2021")</f>
        <v/>
      </c>
      <c r="AA12">
        <f>HYPERLINK("https://klasma.github.io/Logging_1482/klagomål/A 48345-2021 FSC-klagomål.docx", "A 48345-2021")</f>
        <v/>
      </c>
      <c r="AB12">
        <f>HYPERLINK("https://klasma.github.io/Logging_1482/klagomålsmail/A 48345-2021 FSC-klagomål mail.docx", "A 48345-2021")</f>
        <v/>
      </c>
      <c r="AC12">
        <f>HYPERLINK("https://klasma.github.io/Logging_1482/tillsyn/A 48345-2021 tillsynsbegäran.docx", "A 48345-2021")</f>
        <v/>
      </c>
      <c r="AD12">
        <f>HYPERLINK("https://klasma.github.io/Logging_1482/tillsynsmail/A 48345-2021 tillsynsbegäran mail.docx", "A 48345-2021")</f>
        <v/>
      </c>
      <c r="AE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46230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46230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46230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46230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46230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23704-2024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46230</v>
      </c>
      <c r="F18" t="inlineStr">
        <is>
          <t>VÄSTRA GÖTALANDS LÄN</t>
        </is>
      </c>
      <c r="G18" t="inlineStr">
        <is>
          <t>KUNGÄLV</t>
        </is>
      </c>
      <c r="I18" t="n">
        <v>4.9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Hedjohannesört</t>
        </is>
      </c>
      <c r="W18">
        <f>HYPERLINK("https://klasma.github.io/Logging_1482/artfynd/A 23704-2024 artfynd.xlsx", "A 23704-2024")</f>
        <v/>
      </c>
      <c r="X18">
        <f>HYPERLINK("https://klasma.github.io/Logging_1482/kartor/A 23704-2024 karta.png", "A 23704-2024")</f>
        <v/>
      </c>
      <c r="Y18">
        <f>HYPERLINK("https://klasma.github.io/Logging_1482/kartor_geotiff/A 23704-2024 georefererad karta.tif", "A 23704-2024")</f>
        <v/>
      </c>
      <c r="AA18">
        <f>HYPERLINK("https://klasma.github.io/Logging_1482/klagomål/A 23704-2024 FSC-klagomål.docx", "A 23704-2024")</f>
        <v/>
      </c>
      <c r="AB18">
        <f>HYPERLINK("https://klasma.github.io/Logging_1482/klagomålsmail/A 23704-2024 FSC-klagomål mail.docx", "A 23704-2024")</f>
        <v/>
      </c>
      <c r="AC18">
        <f>HYPERLINK("https://klasma.github.io/Logging_1482/tillsyn/A 23704-2024 tillsynsbegäran.docx", "A 23704-2024")</f>
        <v/>
      </c>
      <c r="AD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46230</v>
      </c>
      <c r="F19" t="inlineStr">
        <is>
          <t>VÄSTRA GÖTALANDS LÄN</t>
        </is>
      </c>
      <c r="G19" t="inlineStr">
        <is>
          <t>KUNGÄLV</t>
        </is>
      </c>
      <c r="I19" t="n">
        <v>2.3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HYPERLINK("https://klasma.github.io/Logging_1482/artfynd/A 49988-2023 artfynd.xlsx", "A 49988-2023")</f>
        <v/>
      </c>
      <c r="X19">
        <f>HYPERLINK("https://klasma.github.io/Logging_1482/kartor/A 49988-2023 karta.png", "A 49988-2023")</f>
        <v/>
      </c>
      <c r="Y19">
        <f>HYPERLINK("https://klasma.github.io/Logging_1482/kartor_geotiff/A 49988-2023 georefererad karta.tif", "A 49988-2023")</f>
        <v/>
      </c>
      <c r="AA19">
        <f>HYPERLINK("https://klasma.github.io/Logging_1482/klagomål/A 49988-2023 FSC-klagomål.docx", "A 49988-2023")</f>
        <v/>
      </c>
      <c r="AB19">
        <f>HYPERLINK("https://klasma.github.io/Logging_1482/klagomålsmail/A 49988-2023 FSC-klagomål mail.docx", "A 49988-2023")</f>
        <v/>
      </c>
      <c r="AC19">
        <f>HYPERLINK("https://klasma.github.io/Logging_1482/tillsyn/A 49988-2023 tillsynsbegäran.docx", "A 49988-2023")</f>
        <v/>
      </c>
      <c r="AD19">
        <f>HYPERLINK("https://klasma.github.io/Logging_1482/tillsynsmail/A 49988-2023 tillsynsbegäran mail.docx", "A 49988-2023")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46230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Grönvit nattviol</t>
        </is>
      </c>
      <c r="W20">
        <f>HYPERLINK("https://klasma.github.io/Logging_1482/artfynd/A 30862-2026 artfynd.xlsx", "A 30862-2026")</f>
        <v/>
      </c>
      <c r="X20">
        <f>HYPERLINK("https://klasma.github.io/Logging_1482/kartor/A 30862-2026 karta.png", "A 30862-2026")</f>
        <v/>
      </c>
      <c r="Y20">
        <f>HYPERLINK("https://klasma.github.io/Logging_1482/kartor_geotiff/A 30862-2026 georefererad karta.tif", "A 30862-2026")</f>
        <v/>
      </c>
      <c r="AA20">
        <f>HYPERLINK("https://klasma.github.io/Logging_1482/klagomål/A 30862-2026 FSC-klagomål.docx", "A 30862-2026")</f>
        <v/>
      </c>
      <c r="AB20">
        <f>HYPERLINK("https://klasma.github.io/Logging_1482/klagomålsmail/A 30862-2026 FSC-klagomål mail.docx", "A 30862-2026")</f>
        <v/>
      </c>
      <c r="AC20">
        <f>HYPERLINK("https://klasma.github.io/Logging_1482/tillsyn/A 30862-2026 tillsynsbegäran.docx", "A 30862-2026")</f>
        <v/>
      </c>
      <c r="AD20">
        <f>HYPERLINK("https://klasma.github.io/Logging_1482/tillsynsmail/A 30862-2026 tillsynsbegäran mail.docx", "A 30862-2026")</f>
        <v/>
      </c>
    </row>
    <row r="21" ht="15" customHeight="1">
      <c r="A21" t="inlineStr">
        <is>
          <t>A 30860-2026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46230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Grönsångare</t>
        </is>
      </c>
      <c r="W21">
        <f>HYPERLINK("https://klasma.github.io/Logging_1482/artfynd/A 30860-2026 artfynd.xlsx", "A 30860-2026")</f>
        <v/>
      </c>
      <c r="X21">
        <f>HYPERLINK("https://klasma.github.io/Logging_1482/kartor/A 30860-2026 karta.png", "A 30860-2026")</f>
        <v/>
      </c>
      <c r="Y21">
        <f>HYPERLINK("https://klasma.github.io/Logging_1482/kartor_geotiff/A 30860-2026 georefererad karta.tif", "A 30860-2026")</f>
        <v/>
      </c>
      <c r="AA21">
        <f>HYPERLINK("https://klasma.github.io/Logging_1482/klagomål/A 30860-2026 FSC-klagomål.docx", "A 30860-2026")</f>
        <v/>
      </c>
      <c r="AB21">
        <f>HYPERLINK("https://klasma.github.io/Logging_1482/klagomålsmail/A 30860-2026 FSC-klagomål mail.docx", "A 30860-2026")</f>
        <v/>
      </c>
      <c r="AC21">
        <f>HYPERLINK("https://klasma.github.io/Logging_1482/tillsyn/A 30860-2026 tillsynsbegäran.docx", "A 30860-2026")</f>
        <v/>
      </c>
      <c r="AD21">
        <f>HYPERLINK("https://klasma.github.io/Logging_1482/tillsynsmail/A 30860-2026 tillsynsbegäran mail.docx", "A 30860-2026")</f>
        <v/>
      </c>
      <c r="AE21">
        <f>HYPERLINK("https://klasma.github.io/Logging_1482/fåglar/A 30860-2026 prioriterade fågelarter.docx", "A 30860-2026")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46230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46230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46230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46230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46230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46230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46230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46230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46230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46230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46230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46230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46230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46230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46230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46230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46230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46230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46230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46230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45347</v>
      </c>
      <c r="E43" s="1" t="n">
        <v>46230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44975</v>
      </c>
      <c r="E44" s="1" t="n">
        <v>46230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46230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46230</v>
      </c>
      <c r="F46" t="inlineStr">
        <is>
          <t>VÄSTRA GÖTALANDS LÄN</t>
        </is>
      </c>
      <c r="G46" t="inlineStr">
        <is>
          <t>KUNGÄLV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46230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46230</v>
      </c>
      <c r="F48" t="inlineStr">
        <is>
          <t>VÄSTRA GÖTALANDS LÄN</t>
        </is>
      </c>
      <c r="G48" t="inlineStr">
        <is>
          <t>KUNGÄLV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46230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46230</v>
      </c>
      <c r="F50" t="inlineStr">
        <is>
          <t>VÄSTRA GÖTALANDS LÄN</t>
        </is>
      </c>
      <c r="G50" t="inlineStr">
        <is>
          <t>KUNGÄLV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46230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46230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46230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44757</v>
      </c>
      <c r="E54" s="1" t="n">
        <v>46230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44989</v>
      </c>
      <c r="E55" s="1" t="n">
        <v>46230</v>
      </c>
      <c r="F55" t="inlineStr">
        <is>
          <t>VÄSTRA GÖTALANDS LÄN</t>
        </is>
      </c>
      <c r="G55" t="inlineStr">
        <is>
          <t>KUNGÄLV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46230</v>
      </c>
      <c r="F56" t="inlineStr">
        <is>
          <t>VÄSTRA GÖTALANDS LÄN</t>
        </is>
      </c>
      <c r="G56" t="inlineStr">
        <is>
          <t>KUNGÄLV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46230</v>
      </c>
      <c r="F57" t="inlineStr">
        <is>
          <t>VÄSTRA GÖTALANDS LÄN</t>
        </is>
      </c>
      <c r="G57" t="inlineStr">
        <is>
          <t>KUNGÄLV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46230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46230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62979-2023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45271</v>
      </c>
      <c r="E60" s="1" t="n">
        <v>46230</v>
      </c>
      <c r="F60" t="inlineStr">
        <is>
          <t>VÄSTRA GÖTALANDS LÄN</t>
        </is>
      </c>
      <c r="G60" t="inlineStr">
        <is>
          <t>KUNGÄLV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46230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46230</v>
      </c>
      <c r="F62" t="inlineStr">
        <is>
          <t>VÄSTRA GÖTALANDS LÄN</t>
        </is>
      </c>
      <c r="G62" t="inlineStr">
        <is>
          <t>KUNGÄLV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46230</v>
      </c>
      <c r="F63" t="inlineStr">
        <is>
          <t>VÄSTRA GÖTALANDS LÄN</t>
        </is>
      </c>
      <c r="G63" t="inlineStr">
        <is>
          <t>KUNGÄLV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46230</v>
      </c>
      <c r="F64" t="inlineStr">
        <is>
          <t>VÄSTRA GÖTALANDS LÄN</t>
        </is>
      </c>
      <c r="G64" t="inlineStr">
        <is>
          <t>KUNGÄLV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44837</v>
      </c>
      <c r="E65" s="1" t="n">
        <v>46230</v>
      </c>
      <c r="F65" t="inlineStr">
        <is>
          <t>VÄSTRA GÖTALANDS LÄN</t>
        </is>
      </c>
      <c r="G65" t="inlineStr">
        <is>
          <t>KUNGÄLV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46230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46230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46230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46230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46230</v>
      </c>
      <c r="F70" t="inlineStr">
        <is>
          <t>VÄSTRA GÖTALANDS LÄN</t>
        </is>
      </c>
      <c r="G70" t="inlineStr">
        <is>
          <t>KUNGÄLV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46230</v>
      </c>
      <c r="F71" t="inlineStr">
        <is>
          <t>VÄSTRA GÖTALANDS LÄN</t>
        </is>
      </c>
      <c r="G71" t="inlineStr">
        <is>
          <t>KUNGÄLV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46230</v>
      </c>
      <c r="F72" t="inlineStr">
        <is>
          <t>VÄSTRA GÖTALANDS LÄN</t>
        </is>
      </c>
      <c r="G72" t="inlineStr">
        <is>
          <t>KUNGÄLV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46230</v>
      </c>
      <c r="F73" t="inlineStr">
        <is>
          <t>VÄSTRA GÖTALANDS LÄN</t>
        </is>
      </c>
      <c r="G73" t="inlineStr">
        <is>
          <t>KUNGÄLV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6946-2026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46057</v>
      </c>
      <c r="E74" s="1" t="n">
        <v>46230</v>
      </c>
      <c r="F74" t="inlineStr">
        <is>
          <t>VÄSTRA GÖTALANDS LÄN</t>
        </is>
      </c>
      <c r="G74" t="inlineStr">
        <is>
          <t>KUNGÄLV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46230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46230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46230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46230</v>
      </c>
      <c r="F78" t="inlineStr">
        <is>
          <t>VÄSTRA GÖTALANDS LÄN</t>
        </is>
      </c>
      <c r="G78" t="inlineStr">
        <is>
          <t>KUNGÄLV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46230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46230</v>
      </c>
      <c r="F80" t="inlineStr">
        <is>
          <t>VÄSTRA GÖTALANDS LÄN</t>
        </is>
      </c>
      <c r="G80" t="inlineStr">
        <is>
          <t>KUNGÄLV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45877</v>
      </c>
      <c r="E81" s="1" t="n">
        <v>46230</v>
      </c>
      <c r="F81" t="inlineStr">
        <is>
          <t>VÄSTRA GÖTALANDS LÄN</t>
        </is>
      </c>
      <c r="G81" t="inlineStr">
        <is>
          <t>KUNGÄLV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46230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46230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46230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46230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46230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46230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46230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46230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44425</v>
      </c>
      <c r="E90" s="1" t="n">
        <v>46230</v>
      </c>
      <c r="F90" t="inlineStr">
        <is>
          <t>VÄSTRA GÖTALANDS LÄN</t>
        </is>
      </c>
      <c r="G90" t="inlineStr">
        <is>
          <t>KUNGÄLV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46230</v>
      </c>
      <c r="F91" t="inlineStr">
        <is>
          <t>VÄSTRA GÖTALANDS LÄN</t>
        </is>
      </c>
      <c r="G91" t="inlineStr">
        <is>
          <t>KUNGÄLV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46230</v>
      </c>
      <c r="F92" t="inlineStr">
        <is>
          <t>VÄSTRA GÖTALANDS LÄN</t>
        </is>
      </c>
      <c r="G92" t="inlineStr">
        <is>
          <t>KUNGÄLV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46230</v>
      </c>
      <c r="F93" t="inlineStr">
        <is>
          <t>VÄSTRA GÖTALANDS LÄN</t>
        </is>
      </c>
      <c r="G93" t="inlineStr">
        <is>
          <t>KUNGÄLV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46230</v>
      </c>
      <c r="F94" t="inlineStr">
        <is>
          <t>VÄSTRA GÖTALANDS LÄN</t>
        </is>
      </c>
      <c r="G94" t="inlineStr">
        <is>
          <t>KUNGÄLV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46230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46230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46230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46230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46230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46230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46230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46230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46230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46230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46230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2026-07-27T01:49:48Z</dcterms:created>
  <dcterms:modified xmlns:dcterms="http://purl.org/dc/terms/" xmlns:xsi="http://www.w3.org/2001/XMLSchema-instance" xsi:type="dcterms:W3CDTF">2026-07-27T01:49:48Z</dcterms:modified>
</cp:coreProperties>
</file>