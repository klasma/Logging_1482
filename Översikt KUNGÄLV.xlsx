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46309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46309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46309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46309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46309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46309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46309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46309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46309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46309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46309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46309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46309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46309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46309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46309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46309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46309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46309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46309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46309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46309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23704-2024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45454</v>
      </c>
      <c r="E24" s="1" t="n">
        <v>46309</v>
      </c>
      <c r="F24" t="inlineStr">
        <is>
          <t>VÄSTRA GÖTALANDS LÄN</t>
        </is>
      </c>
      <c r="G24" t="inlineStr">
        <is>
          <t>KUNGÄLV</t>
        </is>
      </c>
      <c r="I24" t="n">
        <v>4.9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Hedjohannesört</t>
        </is>
      </c>
      <c r="W24">
        <f>HYPERLINK("https://klasma.github.io/Logging_1482/artfynd/A 23704-2024 artfynd.xlsx", "A 23704-2024")</f>
        <v/>
      </c>
      <c r="X24">
        <f>HYPERLINK("https://klasma.github.io/Logging_1482/kartor/A 23704-2024 karta.png", "A 23704-2024")</f>
        <v/>
      </c>
      <c r="Y24">
        <f>HYPERLINK("https://klasma.github.io/Logging_1482/kartor_geotiff/A 23704-2024 georefererad karta.tif", "A 23704-2024")</f>
        <v/>
      </c>
      <c r="AA24">
        <f>HYPERLINK("https://klasma.github.io/Logging_1482/klagomål/A 23704-2024 FSC-klagomål.docx", "A 23704-2024")</f>
        <v/>
      </c>
      <c r="AB24">
        <f>HYPERLINK("https://klasma.github.io/Logging_1482/klagomålsmail/A 23704-2024 FSC-klagomål mail.docx", "A 23704-2024")</f>
        <v/>
      </c>
      <c r="AC24">
        <f>HYPERLINK("https://klasma.github.io/Logging_1482/tillsyn/A 23704-2024 tillsynsbegäran.docx", "A 23704-2024")</f>
        <v/>
      </c>
      <c r="AD24">
        <f>HYPERLINK("https://klasma.github.io/Logging_1482/tillsynsmail/A 23704-2024 tillsynsbegäran mail.docx", "A 23704-2024")</f>
        <v/>
      </c>
    </row>
    <row r="25" ht="15" customHeight="1">
      <c r="A25" t="inlineStr">
        <is>
          <t>A 42407-2026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46307</v>
      </c>
      <c r="E25" s="1" t="n">
        <v>46309</v>
      </c>
      <c r="F25" t="inlineStr">
        <is>
          <t>VÄSTRA GÖTALANDS LÄN</t>
        </is>
      </c>
      <c r="G25" t="inlineStr">
        <is>
          <t>KUNGÄLV</t>
        </is>
      </c>
      <c r="I25" t="n">
        <v>1.7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Dunmossa</t>
        </is>
      </c>
      <c r="W25">
        <f>HYPERLINK("https://klasma.github.io/Logging_1482/artfynd/A 42407-2026 artfynd.xlsx", "A 42407-2026")</f>
        <v/>
      </c>
      <c r="X25">
        <f>HYPERLINK("https://klasma.github.io/Logging_1482/kartor/A 42407-2026 karta.png", "A 42407-2026")</f>
        <v/>
      </c>
      <c r="Y25">
        <f>HYPERLINK("https://klasma.github.io/Logging_1482/kartor_geotiff/A 42407-2026 georefererad karta.tif", "A 42407-2026")</f>
        <v/>
      </c>
      <c r="AA25">
        <f>HYPERLINK("https://klasma.github.io/Logging_1482/klagomål/A 42407-2026 FSC-klagomål.docx", "A 42407-2026")</f>
        <v/>
      </c>
      <c r="AB25">
        <f>HYPERLINK("https://klasma.github.io/Logging_1482/klagomålsmail/A 42407-2026 FSC-klagomål mail.docx", "A 42407-2026")</f>
        <v/>
      </c>
      <c r="AC25">
        <f>HYPERLINK("https://klasma.github.io/Logging_1482/tillsyn/A 42407-2026 tillsynsbegäran.docx", "A 42407-2026")</f>
        <v/>
      </c>
      <c r="AD25">
        <f>HYPERLINK("https://klasma.github.io/Logging_1482/tillsynsmail/A 42407-2026 tillsynsbegäran mail.docx", "A 42407-2026")</f>
        <v/>
      </c>
    </row>
    <row r="26" ht="15" customHeight="1">
      <c r="A26" t="inlineStr">
        <is>
          <t>A 19132-2022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46309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19133-2022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44691</v>
      </c>
      <c r="E27" s="1" t="n">
        <v>46309</v>
      </c>
      <c r="F27" t="inlineStr">
        <is>
          <t>VÄSTRA GÖTALANDS LÄN</t>
        </is>
      </c>
      <c r="G27" t="inlineStr">
        <is>
          <t>KUNGÄLV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46309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46309</v>
      </c>
      <c r="F29" t="inlineStr">
        <is>
          <t>VÄSTRA GÖTALANDS LÄN</t>
        </is>
      </c>
      <c r="G29" t="inlineStr">
        <is>
          <t>KUNGÄLV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46309</v>
      </c>
      <c r="F30" t="inlineStr">
        <is>
          <t>VÄSTRA GÖTALANDS LÄN</t>
        </is>
      </c>
      <c r="G30" t="inlineStr">
        <is>
          <t>KUNGÄLV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46309</v>
      </c>
      <c r="F31" t="inlineStr">
        <is>
          <t>VÄSTRA GÖTALANDS LÄN</t>
        </is>
      </c>
      <c r="G31" t="inlineStr">
        <is>
          <t>KUNGÄLV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46309</v>
      </c>
      <c r="F32" t="inlineStr">
        <is>
          <t>VÄSTRA GÖTALANDS LÄN</t>
        </is>
      </c>
      <c r="G32" t="inlineStr">
        <is>
          <t>KUNGÄLV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4204-2024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46309</v>
      </c>
      <c r="F33" t="inlineStr">
        <is>
          <t>VÄSTRA GÖTALANDS LÄN</t>
        </is>
      </c>
      <c r="G33" t="inlineStr">
        <is>
          <t>KUNGÄLV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30170-2022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44757</v>
      </c>
      <c r="E34" s="1" t="n">
        <v>46309</v>
      </c>
      <c r="F34" t="inlineStr">
        <is>
          <t>VÄSTRA GÖTALANDS LÄN</t>
        </is>
      </c>
      <c r="G34" t="inlineStr">
        <is>
          <t>KUNGÄLV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45391</v>
      </c>
      <c r="E35" s="1" t="n">
        <v>46309</v>
      </c>
      <c r="F35" t="inlineStr">
        <is>
          <t>VÄSTRA GÖTALANDS LÄN</t>
        </is>
      </c>
      <c r="G35" t="inlineStr">
        <is>
          <t>KUNGÄLV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45308</v>
      </c>
      <c r="E36" s="1" t="n">
        <v>46309</v>
      </c>
      <c r="F36" t="inlineStr">
        <is>
          <t>VÄSTRA GÖTALANDS LÄN</t>
        </is>
      </c>
      <c r="G36" t="inlineStr">
        <is>
          <t>KUNGÄLV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45990-2022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46309</v>
      </c>
      <c r="F37" t="inlineStr">
        <is>
          <t>VÄSTRA GÖTALANDS LÄN</t>
        </is>
      </c>
      <c r="G37" t="inlineStr">
        <is>
          <t>KUNGÄLV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46309</v>
      </c>
      <c r="F38" t="inlineStr">
        <is>
          <t>VÄSTRA GÖTALANDS LÄN</t>
        </is>
      </c>
      <c r="G38" t="inlineStr">
        <is>
          <t>KUNGÄLV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11237-2025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46309</v>
      </c>
      <c r="F39" t="inlineStr">
        <is>
          <t>VÄSTRA GÖTALANDS LÄN</t>
        </is>
      </c>
      <c r="G39" t="inlineStr">
        <is>
          <t>KUNGÄLV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45721</v>
      </c>
      <c r="E40" s="1" t="n">
        <v>46309</v>
      </c>
      <c r="F40" t="inlineStr">
        <is>
          <t>VÄSTRA GÖTALANDS LÄN</t>
        </is>
      </c>
      <c r="G40" t="inlineStr">
        <is>
          <t>KUNGÄLV</t>
        </is>
      </c>
      <c r="I40" t="n">
        <v>7.4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44558</v>
      </c>
      <c r="E41" s="1" t="n">
        <v>46309</v>
      </c>
      <c r="F41" t="inlineStr">
        <is>
          <t>VÄSTRA GÖTALANDS LÄN</t>
        </is>
      </c>
      <c r="G41" t="inlineStr">
        <is>
          <t>KUNGÄLV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45758</v>
      </c>
      <c r="E42" s="1" t="n">
        <v>46309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46309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61417-2022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44916</v>
      </c>
      <c r="E44" s="1" t="n">
        <v>46309</v>
      </c>
      <c r="F44" t="inlineStr">
        <is>
          <t>VÄSTRA GÖTALANDS LÄN</t>
        </is>
      </c>
      <c r="G44" t="inlineStr">
        <is>
          <t>KUNGÄLV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43520-2022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44837</v>
      </c>
      <c r="E45" s="1" t="n">
        <v>46309</v>
      </c>
      <c r="F45" t="inlineStr">
        <is>
          <t>VÄSTRA GÖTALANDS LÄN</t>
        </is>
      </c>
      <c r="G45" t="inlineStr">
        <is>
          <t>KUNGÄLV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45120</v>
      </c>
      <c r="E46" s="1" t="n">
        <v>46309</v>
      </c>
      <c r="F46" t="inlineStr">
        <is>
          <t>VÄSTRA GÖTALANDS LÄN</t>
        </is>
      </c>
      <c r="G46" t="inlineStr">
        <is>
          <t>KUNGÄLV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32847-2023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45124</v>
      </c>
      <c r="E47" s="1" t="n">
        <v>46309</v>
      </c>
      <c r="F47" t="inlineStr">
        <is>
          <t>VÄSTRA GÖTALANDS LÄN</t>
        </is>
      </c>
      <c r="G47" t="inlineStr">
        <is>
          <t>KUNGÄLV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46309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45482</v>
      </c>
      <c r="E49" s="1" t="n">
        <v>46309</v>
      </c>
      <c r="F49" t="inlineStr">
        <is>
          <t>VÄSTRA GÖTALANDS LÄN</t>
        </is>
      </c>
      <c r="G49" t="inlineStr">
        <is>
          <t>KUNGÄLV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45931</v>
      </c>
      <c r="E50" s="1" t="n">
        <v>46309</v>
      </c>
      <c r="F50" t="inlineStr">
        <is>
          <t>VÄSTRA GÖTALANDS LÄN</t>
        </is>
      </c>
      <c r="G50" t="inlineStr">
        <is>
          <t>KUNGÄLV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34366-2022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44792</v>
      </c>
      <c r="E51" s="1" t="n">
        <v>46309</v>
      </c>
      <c r="F51" t="inlineStr">
        <is>
          <t>VÄSTRA GÖTALANDS LÄN</t>
        </is>
      </c>
      <c r="G51" t="inlineStr">
        <is>
          <t>KUNGÄLV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34244-2025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45844</v>
      </c>
      <c r="E52" s="1" t="n">
        <v>46309</v>
      </c>
      <c r="F52" t="inlineStr">
        <is>
          <t>VÄSTRA GÖTALANDS LÄN</t>
        </is>
      </c>
      <c r="G52" t="inlineStr">
        <is>
          <t>KUNGÄLV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25624-2025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46309</v>
      </c>
      <c r="F53" t="inlineStr">
        <is>
          <t>VÄSTRA GÖTALANDS LÄN</t>
        </is>
      </c>
      <c r="G53" t="inlineStr">
        <is>
          <t>KUNGÄLV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4673-2026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46048</v>
      </c>
      <c r="E54" s="1" t="n">
        <v>46309</v>
      </c>
      <c r="F54" t="inlineStr">
        <is>
          <t>VÄSTRA GÖTALANDS LÄN</t>
        </is>
      </c>
      <c r="G54" t="inlineStr">
        <is>
          <t>KUNGÄLV</t>
        </is>
      </c>
      <c r="I54" t="n">
        <v>8.199999999999999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8334-2023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44975</v>
      </c>
      <c r="E55" s="1" t="n">
        <v>46309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41442-2025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45869</v>
      </c>
      <c r="E56" s="1" t="n">
        <v>46309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46309</v>
      </c>
      <c r="F57" t="inlineStr">
        <is>
          <t>VÄSTRA GÖTALANDS LÄN</t>
        </is>
      </c>
      <c r="G57" t="inlineStr">
        <is>
          <t>KUNGÄLV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6946-2026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46057</v>
      </c>
      <c r="E58" s="1" t="n">
        <v>46309</v>
      </c>
      <c r="F58" t="inlineStr">
        <is>
          <t>VÄSTRA GÖTALANDS LÄN</t>
        </is>
      </c>
      <c r="G58" t="inlineStr">
        <is>
          <t>KUNGÄLV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45324</v>
      </c>
      <c r="E59" s="1" t="n">
        <v>46309</v>
      </c>
      <c r="F59" t="inlineStr">
        <is>
          <t>VÄSTRA GÖTALANDS LÄN</t>
        </is>
      </c>
      <c r="G59" t="inlineStr">
        <is>
          <t>KUNGÄLV</t>
        </is>
      </c>
      <c r="I59" t="n">
        <v>14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45664</v>
      </c>
      <c r="E60" s="1" t="n">
        <v>46309</v>
      </c>
      <c r="F60" t="inlineStr">
        <is>
          <t>VÄSTRA GÖTALANDS LÄN</t>
        </is>
      </c>
      <c r="G60" t="inlineStr">
        <is>
          <t>KUNGÄLV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45877</v>
      </c>
      <c r="E61" s="1" t="n">
        <v>46309</v>
      </c>
      <c r="F61" t="inlineStr">
        <is>
          <t>VÄSTRA GÖTALANDS LÄN</t>
        </is>
      </c>
      <c r="G61" t="inlineStr">
        <is>
          <t>KUNGÄLV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13990-2026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46098</v>
      </c>
      <c r="E62" s="1" t="n">
        <v>46309</v>
      </c>
      <c r="F62" t="inlineStr">
        <is>
          <t>VÄSTRA GÖTALANDS LÄN</t>
        </is>
      </c>
      <c r="G62" t="inlineStr">
        <is>
          <t>KUNGÄLV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45082</v>
      </c>
      <c r="E63" s="1" t="n">
        <v>46309</v>
      </c>
      <c r="F63" t="inlineStr">
        <is>
          <t>VÄSTRA GÖTALANDS LÄN</t>
        </is>
      </c>
      <c r="G63" t="inlineStr">
        <is>
          <t>KUNGÄLV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44928</v>
      </c>
      <c r="E64" s="1" t="n">
        <v>46309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49985-2023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46309</v>
      </c>
      <c r="F65" t="inlineStr">
        <is>
          <t>VÄSTRA GÖTALANDS LÄN</t>
        </is>
      </c>
      <c r="G65" t="inlineStr">
        <is>
          <t>KUNGÄLV</t>
        </is>
      </c>
      <c r="I65" t="n">
        <v>8.199999999999999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63319-2021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46309</v>
      </c>
      <c r="F66" t="inlineStr">
        <is>
          <t>VÄSTRA GÖTALANDS LÄN</t>
        </is>
      </c>
      <c r="G66" t="inlineStr">
        <is>
          <t>KUNGÄLV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46309</v>
      </c>
      <c r="F67" t="inlineStr">
        <is>
          <t>VÄSTRA GÖTALANDS LÄN</t>
        </is>
      </c>
      <c r="G67" t="inlineStr">
        <is>
          <t>KUNGÄLV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7505-2024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45347</v>
      </c>
      <c r="E68" s="1" t="n">
        <v>46309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46309</v>
      </c>
      <c r="F69" t="inlineStr">
        <is>
          <t>VÄSTRA GÖTALANDS LÄN</t>
        </is>
      </c>
      <c r="G69" t="inlineStr">
        <is>
          <t>KUNGÄLV</t>
        </is>
      </c>
      <c r="I69" t="n">
        <v>13.3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46309</v>
      </c>
      <c r="F70" t="inlineStr">
        <is>
          <t>VÄSTRA GÖTALANDS LÄN</t>
        </is>
      </c>
      <c r="G70" t="inlineStr">
        <is>
          <t>KUNGÄLV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22731-2026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46157</v>
      </c>
      <c r="E71" s="1" t="n">
        <v>46309</v>
      </c>
      <c r="F71" t="inlineStr">
        <is>
          <t>VÄSTRA GÖTALANDS LÄN</t>
        </is>
      </c>
      <c r="G71" t="inlineStr">
        <is>
          <t>KUNGÄLV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45837</v>
      </c>
      <c r="E72" s="1" t="n">
        <v>46309</v>
      </c>
      <c r="F72" t="inlineStr">
        <is>
          <t>VÄSTRA GÖTALANDS LÄN</t>
        </is>
      </c>
      <c r="G72" t="inlineStr">
        <is>
          <t>KUNGÄLV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19531-2023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45050</v>
      </c>
      <c r="E73" s="1" t="n">
        <v>46309</v>
      </c>
      <c r="F73" t="inlineStr">
        <is>
          <t>VÄSTRA GÖTALANDS LÄN</t>
        </is>
      </c>
      <c r="G73" t="inlineStr">
        <is>
          <t>KUNGÄLV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46163</v>
      </c>
      <c r="E74" s="1" t="n">
        <v>46309</v>
      </c>
      <c r="F74" t="inlineStr">
        <is>
          <t>VÄSTRA GÖTALANDS LÄN</t>
        </is>
      </c>
      <c r="G74" t="inlineStr">
        <is>
          <t>KUNGÄLV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46309</v>
      </c>
      <c r="F75" t="inlineStr">
        <is>
          <t>VÄSTRA GÖTALANDS LÄN</t>
        </is>
      </c>
      <c r="G75" t="inlineStr">
        <is>
          <t>KUNGÄLV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45694</v>
      </c>
      <c r="E76" s="1" t="n">
        <v>46309</v>
      </c>
      <c r="F76" t="inlineStr">
        <is>
          <t>VÄSTRA GÖTALANDS LÄN</t>
        </is>
      </c>
      <c r="G76" t="inlineStr">
        <is>
          <t>KUNGÄLV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62979-2023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45271</v>
      </c>
      <c r="E77" s="1" t="n">
        <v>46309</v>
      </c>
      <c r="F77" t="inlineStr">
        <is>
          <t>VÄSTRA GÖTALANDS LÄN</t>
        </is>
      </c>
      <c r="G77" t="inlineStr">
        <is>
          <t>KUNGÄLV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45751</v>
      </c>
      <c r="E78" s="1" t="n">
        <v>46309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29801-2022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44755</v>
      </c>
      <c r="E79" s="1" t="n">
        <v>46309</v>
      </c>
      <c r="F79" t="inlineStr">
        <is>
          <t>VÄSTRA GÖTALANDS LÄN</t>
        </is>
      </c>
      <c r="G79" t="inlineStr">
        <is>
          <t>KUNGÄLV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46309</v>
      </c>
      <c r="F80" t="inlineStr">
        <is>
          <t>VÄSTRA GÖTALANDS LÄN</t>
        </is>
      </c>
      <c r="G80" t="inlineStr">
        <is>
          <t>KUNGÄLV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44543</v>
      </c>
      <c r="E81" s="1" t="n">
        <v>46309</v>
      </c>
      <c r="F81" t="inlineStr">
        <is>
          <t>VÄSTRA GÖTALANDS LÄN</t>
        </is>
      </c>
      <c r="G81" t="inlineStr">
        <is>
          <t>KUNGÄLV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29952-2026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46309</v>
      </c>
      <c r="F82" t="inlineStr">
        <is>
          <t>VÄSTRA GÖTALANDS LÄN</t>
        </is>
      </c>
      <c r="G82" t="inlineStr">
        <is>
          <t>KUNGÄLV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46211</v>
      </c>
      <c r="E83" s="1" t="n">
        <v>46309</v>
      </c>
      <c r="F83" t="inlineStr">
        <is>
          <t>VÄSTRA GÖTALANDS LÄN</t>
        </is>
      </c>
      <c r="G83" t="inlineStr">
        <is>
          <t>KUNGÄLV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46212</v>
      </c>
      <c r="E84" s="1" t="n">
        <v>46309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56782-2022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44894</v>
      </c>
      <c r="E85" s="1" t="n">
        <v>46309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45470</v>
      </c>
      <c r="E86" s="1" t="n">
        <v>46309</v>
      </c>
      <c r="F86" t="inlineStr">
        <is>
          <t>VÄSTRA GÖTALANDS LÄN</t>
        </is>
      </c>
      <c r="G86" t="inlineStr">
        <is>
          <t>KUNGÄLV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46281</v>
      </c>
      <c r="E87" s="1" t="n">
        <v>46309</v>
      </c>
      <c r="F87" t="inlineStr">
        <is>
          <t>VÄSTRA GÖTALANDS LÄN</t>
        </is>
      </c>
      <c r="G87" t="inlineStr">
        <is>
          <t>KUNGÄLV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44989</v>
      </c>
      <c r="E88" s="1" t="n">
        <v>46309</v>
      </c>
      <c r="F88" t="inlineStr">
        <is>
          <t>VÄSTRA GÖTALANDS LÄN</t>
        </is>
      </c>
      <c r="G88" t="inlineStr">
        <is>
          <t>KUNGÄLV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62128-2021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44502</v>
      </c>
      <c r="E89" s="1" t="n">
        <v>46309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45058</v>
      </c>
      <c r="E90" s="1" t="n">
        <v>46309</v>
      </c>
      <c r="F90" t="inlineStr">
        <is>
          <t>VÄSTRA GÖTALANDS LÄN</t>
        </is>
      </c>
      <c r="G90" t="inlineStr">
        <is>
          <t>KUNGÄLV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46309</v>
      </c>
      <c r="F91" t="inlineStr">
        <is>
          <t>VÄSTRA GÖTALANDS LÄN</t>
        </is>
      </c>
      <c r="G91" t="inlineStr">
        <is>
          <t>KUNGÄLV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46309</v>
      </c>
      <c r="F92" t="inlineStr">
        <is>
          <t>VÄSTRA GÖTALANDS LÄN</t>
        </is>
      </c>
      <c r="G92" t="inlineStr">
        <is>
          <t>KUNGÄLV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44176-2023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45188</v>
      </c>
      <c r="E93" s="1" t="n">
        <v>46309</v>
      </c>
      <c r="F93" t="inlineStr">
        <is>
          <t>VÄSTRA GÖTALANDS LÄN</t>
        </is>
      </c>
      <c r="G93" t="inlineStr">
        <is>
          <t>KUNGÄLV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45453</v>
      </c>
      <c r="E94" s="1" t="n">
        <v>46309</v>
      </c>
      <c r="F94" t="inlineStr">
        <is>
          <t>VÄSTRA GÖTALANDS LÄN</t>
        </is>
      </c>
      <c r="G94" t="inlineStr">
        <is>
          <t>KUNGÄLV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45552</v>
      </c>
      <c r="E95" s="1" t="n">
        <v>46309</v>
      </c>
      <c r="F95" t="inlineStr">
        <is>
          <t>VÄSTRA GÖTALANDS LÄN</t>
        </is>
      </c>
      <c r="G95" t="inlineStr">
        <is>
          <t>KUNGÄLV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46309</v>
      </c>
      <c r="F96" t="inlineStr">
        <is>
          <t>VÄSTRA GÖTALANDS LÄN</t>
        </is>
      </c>
      <c r="G96" t="inlineStr">
        <is>
          <t>KUNGÄLV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46309</v>
      </c>
      <c r="F97" t="inlineStr">
        <is>
          <t>VÄSTRA GÖTALANDS LÄN</t>
        </is>
      </c>
      <c r="G97" t="inlineStr">
        <is>
          <t>KUNGÄLV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46309</v>
      </c>
      <c r="F98" t="inlineStr">
        <is>
          <t>VÄSTRA GÖTALANDS LÄN</t>
        </is>
      </c>
      <c r="G98" t="inlineStr">
        <is>
          <t>KUNGÄLV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46309</v>
      </c>
      <c r="F99" t="inlineStr">
        <is>
          <t>VÄSTRA GÖTALANDS LÄN</t>
        </is>
      </c>
      <c r="G99" t="inlineStr">
        <is>
          <t>KUNGÄLV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46309</v>
      </c>
      <c r="F100" t="inlineStr">
        <is>
          <t>VÄSTRA GÖTALANDS LÄN</t>
        </is>
      </c>
      <c r="G100" t="inlineStr">
        <is>
          <t>KUNGÄLV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46309</v>
      </c>
      <c r="F101" t="inlineStr">
        <is>
          <t>VÄSTRA GÖTALANDS LÄN</t>
        </is>
      </c>
      <c r="G101" t="inlineStr">
        <is>
          <t>KUNGÄLV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41656-2026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46302</v>
      </c>
      <c r="E102" s="1" t="n">
        <v>46309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46309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2026-10-14T02:00:43Z</dcterms:created>
  <dcterms:modified xmlns:dcterms="http://purl.org/dc/terms/" xmlns:xsi="http://www.w3.org/2001/XMLSchema-instance" xsi:type="dcterms:W3CDTF">2026-10-14T02:00:43Z</dcterms:modified>
</cp:coreProperties>
</file>