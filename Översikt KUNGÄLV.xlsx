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44132-2025</t>
        </is>
      </c>
      <c r="B4" s="1" t="n">
        <v>45915.58515046296</v>
      </c>
      <c r="C4" s="1" t="n">
        <v>46013</v>
      </c>
      <c r="D4" t="inlineStr">
        <is>
          <t>VÄSTRA GÖTALANDS LÄN</t>
        </is>
      </c>
      <c r="E4" t="inlineStr">
        <is>
          <t>KUNGÄLV</t>
        </is>
      </c>
      <c r="F4" t="inlineStr">
        <is>
          <t>Kommuner</t>
        </is>
      </c>
      <c r="G4" t="n">
        <v>1.8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Grönsångare
Svartvit flugsnappare
Kungsfågel</t>
        </is>
      </c>
      <c r="S4">
        <f>HYPERLINK("https://klasma.github.io/Logging_1482/artfynd/A 44132-2025 artfynd.xlsx", "A 44132-2025")</f>
        <v/>
      </c>
      <c r="T4">
        <f>HYPERLINK("https://klasma.github.io/Logging_1482/kartor/A 44132-2025 karta.png", "A 44132-2025")</f>
        <v/>
      </c>
      <c r="V4">
        <f>HYPERLINK("https://klasma.github.io/Logging_1482/klagomål/A 44132-2025 FSC-klagomål.docx", "A 44132-2025")</f>
        <v/>
      </c>
      <c r="W4">
        <f>HYPERLINK("https://klasma.github.io/Logging_1482/klagomålsmail/A 44132-2025 FSC-klagomål mail.docx", "A 44132-2025")</f>
        <v/>
      </c>
      <c r="X4">
        <f>HYPERLINK("https://klasma.github.io/Logging_1482/tillsyn/A 44132-2025 tillsynsbegäran.docx", "A 44132-2025")</f>
        <v/>
      </c>
      <c r="Y4">
        <f>HYPERLINK("https://klasma.github.io/Logging_1482/tillsynsmail/A 44132-2025 tillsynsbegäran mail.docx", "A 44132-2025")</f>
        <v/>
      </c>
      <c r="Z4">
        <f>HYPERLINK("https://klasma.github.io/Logging_1482/fåglar/A 44132-2025 prioriterade fågelarter.docx", "A 44132-2025")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46013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57116-2025</t>
        </is>
      </c>
      <c r="B6" s="1" t="n">
        <v>45979.46130787037</v>
      </c>
      <c r="C6" s="1" t="n">
        <v>46013</v>
      </c>
      <c r="D6" t="inlineStr">
        <is>
          <t>VÄSTRA GÖTALANDS LÄN</t>
        </is>
      </c>
      <c r="E6" t="inlineStr">
        <is>
          <t>KUNGÄLV</t>
        </is>
      </c>
      <c r="G6" t="n">
        <v>3.5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Stor revmossa
Västlig hakmossa</t>
        </is>
      </c>
      <c r="S6">
        <f>HYPERLINK("https://klasma.github.io/Logging_1482/artfynd/A 57116-2025 artfynd.xlsx", "A 57116-2025")</f>
        <v/>
      </c>
      <c r="T6">
        <f>HYPERLINK("https://klasma.github.io/Logging_1482/kartor/A 57116-2025 karta.png", "A 57116-2025")</f>
        <v/>
      </c>
      <c r="V6">
        <f>HYPERLINK("https://klasma.github.io/Logging_1482/klagomål/A 57116-2025 FSC-klagomål.docx", "A 57116-2025")</f>
        <v/>
      </c>
      <c r="W6">
        <f>HYPERLINK("https://klasma.github.io/Logging_1482/klagomålsmail/A 57116-2025 FSC-klagomål mail.docx", "A 57116-2025")</f>
        <v/>
      </c>
      <c r="X6">
        <f>HYPERLINK("https://klasma.github.io/Logging_1482/tillsyn/A 57116-2025 tillsynsbegäran.docx", "A 57116-2025")</f>
        <v/>
      </c>
      <c r="Y6">
        <f>HYPERLINK("https://klasma.github.io/Logging_1482/tillsynsmail/A 57116-2025 tillsynsbegäran mail.docx", "A 57116-2025")</f>
        <v/>
      </c>
      <c r="Z6">
        <f>HYPERLINK("https://klasma.github.io/Logging_1482/fåglar/A 57116-2025 prioriterade fågelarter.docx", "A 57116-2025")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46013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46013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46013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46013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46013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46013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46013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46013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46013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46013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46013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46013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46013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4892-2021</t>
        </is>
      </c>
      <c r="B20" s="1" t="n">
        <v>44224</v>
      </c>
      <c r="C20" s="1" t="n">
        <v>46013</v>
      </c>
      <c r="D20" t="inlineStr">
        <is>
          <t>VÄSTRA GÖTALANDS LÄN</t>
        </is>
      </c>
      <c r="E20" t="inlineStr">
        <is>
          <t>KUNGÄLV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41771-2021</t>
        </is>
      </c>
      <c r="B21" s="1" t="n">
        <v>44425</v>
      </c>
      <c r="C21" s="1" t="n">
        <v>46013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46013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46013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3038-2021</t>
        </is>
      </c>
      <c r="B24" s="1" t="n">
        <v>44216</v>
      </c>
      <c r="C24" s="1" t="n">
        <v>46013</v>
      </c>
      <c r="D24" t="inlineStr">
        <is>
          <t>VÄSTRA GÖTALANDS LÄN</t>
        </is>
      </c>
      <c r="E24" t="inlineStr">
        <is>
          <t>KUNGÄLV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46013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46013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46013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46013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46013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46013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46013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46013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46013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46013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46013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46013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46013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4204-2024</t>
        </is>
      </c>
      <c r="B38" s="1" t="n">
        <v>45324.36422453704</v>
      </c>
      <c r="C38" s="1" t="n">
        <v>46013</v>
      </c>
      <c r="D38" t="inlineStr">
        <is>
          <t>VÄSTRA GÖTALANDS LÄN</t>
        </is>
      </c>
      <c r="E38" t="inlineStr">
        <is>
          <t>KUNGÄLV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46013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46013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46013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30170-2022</t>
        </is>
      </c>
      <c r="B42" s="1" t="n">
        <v>44757</v>
      </c>
      <c r="C42" s="1" t="n">
        <v>46013</v>
      </c>
      <c r="D42" t="inlineStr">
        <is>
          <t>VÄSTRA GÖTALANDS LÄN</t>
        </is>
      </c>
      <c r="E42" t="inlineStr">
        <is>
          <t>KUNGÄLV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46013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46013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46013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46013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46013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61417-2022</t>
        </is>
      </c>
      <c r="B48" s="1" t="n">
        <v>44916.35082175926</v>
      </c>
      <c r="C48" s="1" t="n">
        <v>46013</v>
      </c>
      <c r="D48" t="inlineStr">
        <is>
          <t>VÄSTRA GÖTALANDS LÄN</t>
        </is>
      </c>
      <c r="E48" t="inlineStr">
        <is>
          <t>KUNGÄLV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46013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29223-2024</t>
        </is>
      </c>
      <c r="B50" s="1" t="n">
        <v>45482.81978009259</v>
      </c>
      <c r="C50" s="1" t="n">
        <v>46013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46013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46013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8334-2023</t>
        </is>
      </c>
      <c r="B53" s="1" t="n">
        <v>44975</v>
      </c>
      <c r="C53" s="1" t="n">
        <v>46013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25135-2025</t>
        </is>
      </c>
      <c r="B54" s="1" t="n">
        <v>45798</v>
      </c>
      <c r="C54" s="1" t="n">
        <v>46013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32392-2025</t>
        </is>
      </c>
      <c r="B55" s="1" t="n">
        <v>45837.9102199074</v>
      </c>
      <c r="C55" s="1" t="n">
        <v>46013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32391-2025</t>
        </is>
      </c>
      <c r="B56" s="1" t="n">
        <v>45837.90662037037</v>
      </c>
      <c r="C56" s="1" t="n">
        <v>46013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46013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46013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33493-2021</t>
        </is>
      </c>
      <c r="B59" s="1" t="n">
        <v>44377</v>
      </c>
      <c r="C59" s="1" t="n">
        <v>46013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34250-2025</t>
        </is>
      </c>
      <c r="B60" s="1" t="n">
        <v>45844</v>
      </c>
      <c r="C60" s="1" t="n">
        <v>46013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46588-2025</t>
        </is>
      </c>
      <c r="B61" s="1" t="n">
        <v>45926.39152777778</v>
      </c>
      <c r="C61" s="1" t="n">
        <v>46013</v>
      </c>
      <c r="D61" t="inlineStr">
        <is>
          <t>VÄSTRA GÖTALANDS LÄN</t>
        </is>
      </c>
      <c r="E61" t="inlineStr">
        <is>
          <t>KUNGÄLV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49985-2023</t>
        </is>
      </c>
      <c r="B62" s="1" t="n">
        <v>45215</v>
      </c>
      <c r="C62" s="1" t="n">
        <v>46013</v>
      </c>
      <c r="D62" t="inlineStr">
        <is>
          <t>VÄSTRA GÖTALANDS LÄN</t>
        </is>
      </c>
      <c r="E62" t="inlineStr">
        <is>
          <t>KUNGÄLV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34244-2025</t>
        </is>
      </c>
      <c r="B63" s="1" t="n">
        <v>45844</v>
      </c>
      <c r="C63" s="1" t="n">
        <v>46013</v>
      </c>
      <c r="D63" t="inlineStr">
        <is>
          <t>VÄSTRA GÖTALANDS LÄN</t>
        </is>
      </c>
      <c r="E63" t="inlineStr">
        <is>
          <t>KUNGÄLV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55830-2024</t>
        </is>
      </c>
      <c r="B64" s="1" t="n">
        <v>45623.48478009259</v>
      </c>
      <c r="C64" s="1" t="n">
        <v>46013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46013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25624-2025</t>
        </is>
      </c>
      <c r="B66" s="1" t="n">
        <v>45803.57885416667</v>
      </c>
      <c r="C66" s="1" t="n">
        <v>46013</v>
      </c>
      <c r="D66" t="inlineStr">
        <is>
          <t>VÄSTRA GÖTALANDS LÄN</t>
        </is>
      </c>
      <c r="E66" t="inlineStr">
        <is>
          <t>KUNGÄLV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47564-2025</t>
        </is>
      </c>
      <c r="B67" s="1" t="n">
        <v>45931.38982638889</v>
      </c>
      <c r="C67" s="1" t="n">
        <v>46013</v>
      </c>
      <c r="D67" t="inlineStr">
        <is>
          <t>VÄSTRA GÖTALANDS LÄN</t>
        </is>
      </c>
      <c r="E67" t="inlineStr">
        <is>
          <t>KUNGÄLV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56394-2025</t>
        </is>
      </c>
      <c r="B68" s="1" t="n">
        <v>45974.74313657408</v>
      </c>
      <c r="C68" s="1" t="n">
        <v>46013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46013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4262-2024</t>
        </is>
      </c>
      <c r="B70" s="1" t="n">
        <v>45324.50902777778</v>
      </c>
      <c r="C70" s="1" t="n">
        <v>46013</v>
      </c>
      <c r="D70" t="inlineStr">
        <is>
          <t>VÄSTRA GÖTALANDS LÄN</t>
        </is>
      </c>
      <c r="E70" t="inlineStr">
        <is>
          <t>KUNGÄLV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46013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41442-2025</t>
        </is>
      </c>
      <c r="B72" s="1" t="n">
        <v>45869</v>
      </c>
      <c r="C72" s="1" t="n">
        <v>46013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46013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661-2025</t>
        </is>
      </c>
      <c r="B74" s="1" t="n">
        <v>45664.68572916667</v>
      </c>
      <c r="C74" s="1" t="n">
        <v>46013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58408-2025</t>
        </is>
      </c>
      <c r="B75" s="1" t="n">
        <v>45985.56969907408</v>
      </c>
      <c r="C75" s="1" t="n">
        <v>46013</v>
      </c>
      <c r="D75" t="inlineStr">
        <is>
          <t>VÄSTRA GÖTALANDS LÄN</t>
        </is>
      </c>
      <c r="E75" t="inlineStr">
        <is>
          <t>KUNGÄLV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46013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59985-2025</t>
        </is>
      </c>
      <c r="B77" s="1" t="n">
        <v>45993.54930555556</v>
      </c>
      <c r="C77" s="1" t="n">
        <v>46013</v>
      </c>
      <c r="D77" t="inlineStr">
        <is>
          <t>VÄSTRA GÖTALANDS LÄN</t>
        </is>
      </c>
      <c r="E77" t="inlineStr">
        <is>
          <t>KUNGÄLV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46013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24461-2023</t>
        </is>
      </c>
      <c r="B79" s="1" t="n">
        <v>45082</v>
      </c>
      <c r="C79" s="1" t="n">
        <v>46013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46013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44508.45226851852</v>
      </c>
      <c r="C81" s="1" t="n">
        <v>46013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7505-2024</t>
        </is>
      </c>
      <c r="B82" s="1" t="n">
        <v>45347.93181712963</v>
      </c>
      <c r="C82" s="1" t="n">
        <v>46013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13529-2024</t>
        </is>
      </c>
      <c r="B83" s="1" t="n">
        <v>45387.84504629629</v>
      </c>
      <c r="C83" s="1" t="n">
        <v>46013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27463-2024</t>
        </is>
      </c>
      <c r="B84" s="1" t="n">
        <v>45474.45266203704</v>
      </c>
      <c r="C84" s="1" t="n">
        <v>46013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46013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17451-2025</t>
        </is>
      </c>
      <c r="B86" s="1" t="n">
        <v>45757.44825231482</v>
      </c>
      <c r="C86" s="1" t="n">
        <v>46013</v>
      </c>
      <c r="D86" t="inlineStr">
        <is>
          <t>VÄSTRA GÖTALANDS LÄN</t>
        </is>
      </c>
      <c r="E86" t="inlineStr">
        <is>
          <t>KUNGÄLV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17455-2025</t>
        </is>
      </c>
      <c r="B87" s="1" t="n">
        <v>45757.45109953704</v>
      </c>
      <c r="C87" s="1" t="n">
        <v>46013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19531-2023</t>
        </is>
      </c>
      <c r="B88" s="1" t="n">
        <v>45050.54896990741</v>
      </c>
      <c r="C88" s="1" t="n">
        <v>46013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45324.51049768519</v>
      </c>
      <c r="C89" s="1" t="n">
        <v>46013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46013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46013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46013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29801-2022</t>
        </is>
      </c>
      <c r="B93" s="1" t="n">
        <v>44755.70518518519</v>
      </c>
      <c r="C93" s="1" t="n">
        <v>46013</v>
      </c>
      <c r="D93" t="inlineStr">
        <is>
          <t>VÄSTRA GÖTALANDS LÄN</t>
        </is>
      </c>
      <c r="E93" t="inlineStr">
        <is>
          <t>KUNGÄLV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49981-2023</t>
        </is>
      </c>
      <c r="B94" s="1" t="n">
        <v>45215</v>
      </c>
      <c r="C94" s="1" t="n">
        <v>46013</v>
      </c>
      <c r="D94" t="inlineStr">
        <is>
          <t>VÄSTRA GÖTALANDS LÄN</t>
        </is>
      </c>
      <c r="E94" t="inlineStr">
        <is>
          <t>KUNGÄLV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71835-2021</t>
        </is>
      </c>
      <c r="B95" s="1" t="n">
        <v>44543.62230324074</v>
      </c>
      <c r="C95" s="1" t="n">
        <v>46013</v>
      </c>
      <c r="D95" t="inlineStr">
        <is>
          <t>VÄSTRA GÖTALANDS LÄN</t>
        </is>
      </c>
      <c r="E95" t="inlineStr">
        <is>
          <t>KUNGÄLV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21883-2021</t>
        </is>
      </c>
      <c r="B96" s="1" t="n">
        <v>44322</v>
      </c>
      <c r="C96" s="1" t="n">
        <v>46013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3026-2021</t>
        </is>
      </c>
      <c r="B97" s="1" t="n">
        <v>44216</v>
      </c>
      <c r="C97" s="1" t="n">
        <v>46013</v>
      </c>
      <c r="D97" t="inlineStr">
        <is>
          <t>VÄSTRA GÖTALANDS LÄN</t>
        </is>
      </c>
      <c r="E97" t="inlineStr">
        <is>
          <t>KUNGÄLV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46013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46013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46013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46013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46013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46013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46013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46013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46013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46013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46013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46013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34366-2022</t>
        </is>
      </c>
      <c r="B110" s="1" t="n">
        <v>44792</v>
      </c>
      <c r="C110" s="1" t="n">
        <v>46013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5631-2024</t>
        </is>
      </c>
      <c r="B111" s="1" t="n">
        <v>45334.61013888889</v>
      </c>
      <c r="C111" s="1" t="n">
        <v>46013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21579-2025</t>
        </is>
      </c>
      <c r="B112" s="1" t="n">
        <v>45782.91234953704</v>
      </c>
      <c r="C112" s="1" t="n">
        <v>46013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46013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46013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46013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46013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10677-2025</t>
        </is>
      </c>
      <c r="B117" s="1" t="n">
        <v>45721.89055555555</v>
      </c>
      <c r="C117" s="1" t="n">
        <v>46013</v>
      </c>
      <c r="D117" t="inlineStr">
        <is>
          <t>VÄSTRA GÖTALANDS LÄN</t>
        </is>
      </c>
      <c r="E117" t="inlineStr">
        <is>
          <t>KUNGÄLV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74285-2021</t>
        </is>
      </c>
      <c r="B118" s="1" t="n">
        <v>44558</v>
      </c>
      <c r="C118" s="1" t="n">
        <v>46013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2025-12-22T10:31:08Z</dcterms:created>
  <dcterms:modified xmlns:dcterms="http://purl.org/dc/terms/" xmlns:xsi="http://www.w3.org/2001/XMLSchema-instance" xsi:type="dcterms:W3CDTF">2025-12-22T10:31:08Z</dcterms:modified>
</cp:coreProperties>
</file>