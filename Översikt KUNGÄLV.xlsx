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30872-2026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46212</v>
      </c>
      <c r="E8" s="1" t="n">
        <v>46254</v>
      </c>
      <c r="F8" t="inlineStr">
        <is>
          <t>VÄSTRA GÖTALANDS LÄN</t>
        </is>
      </c>
      <c r="G8" t="inlineStr">
        <is>
          <t>KUNGÄLV</t>
        </is>
      </c>
      <c r="I8" t="n">
        <v>2.4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Platt fjädermossa
Spillkråka</t>
        </is>
      </c>
      <c r="W8">
        <f>HYPERLINK("https://klasma.github.io/Logging_1482/artfynd/A 30872-2026 artfynd.xlsx", "A 30872-2026")</f>
        <v/>
      </c>
      <c r="X8">
        <f>HYPERLINK("https://klasma.github.io/Logging_1482/kartor/A 30872-2026 karta.png", "A 30872-2026")</f>
        <v/>
      </c>
      <c r="Y8">
        <f>HYPERLINK("https://klasma.github.io/Logging_1482/kartor_geotiff/A 30872-2026 georefererad karta.tif", "A 30872-2026")</f>
        <v/>
      </c>
      <c r="AA8">
        <f>HYPERLINK("https://klasma.github.io/Logging_1482/klagomål/A 30872-2026 FSC-klagomål.docx", "A 30872-2026")</f>
        <v/>
      </c>
      <c r="AB8">
        <f>HYPERLINK("https://klasma.github.io/Logging_1482/klagomålsmail/A 30872-2026 FSC-klagomål mail.docx", "A 30872-2026")</f>
        <v/>
      </c>
      <c r="AC8">
        <f>HYPERLINK("https://klasma.github.io/Logging_1482/tillsyn/A 30872-2026 tillsynsbegäran.docx", "A 30872-2026")</f>
        <v/>
      </c>
      <c r="AD8">
        <f>HYPERLINK("https://klasma.github.io/Logging_1482/tillsynsmail/A 30872-2026 tillsynsbegäran mail.docx", "A 30872-2026")</f>
        <v/>
      </c>
      <c r="AE8">
        <f>HYPERLINK("https://klasma.github.io/Logging_1482/fåglar/A 30872-2026 prioriterade fågelarter.docx", "A 30872-2026")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46254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46254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46254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Älg
Spillkråka
Revlummer</t>
        </is>
      </c>
      <c r="W11">
        <f>HYPERLINK("https://klasma.github.io/Logging_1482/artfynd/A 58408-2025 artfynd.xlsx", "A 58408-2025")</f>
        <v/>
      </c>
      <c r="X11">
        <f>HYPERLINK("https://klasma.github.io/Logging_1482/kartor/A 58408-2025 karta.png", "A 58408-2025")</f>
        <v/>
      </c>
      <c r="Y11">
        <f>HYPERLINK("https://klasma.github.io/Logging_1482/kartor_geotiff/A 58408-2025 georefererad karta.tif", "A 58408-2025")</f>
        <v/>
      </c>
      <c r="AA11">
        <f>HYPERLINK("https://klasma.github.io/Logging_1482/klagomål/A 58408-2025 FSC-klagomål.docx", "A 58408-2025")</f>
        <v/>
      </c>
      <c r="AB11">
        <f>HYPERLINK("https://klasma.github.io/Logging_1482/klagomålsmail/A 58408-2025 FSC-klagomål mail.docx", "A 58408-2025")</f>
        <v/>
      </c>
      <c r="AC11">
        <f>HYPERLINK("https://klasma.github.io/Logging_1482/tillsyn/A 58408-2025 tillsynsbegäran.docx", "A 58408-2025")</f>
        <v/>
      </c>
      <c r="AD11">
        <f>HYPERLINK("https://klasma.github.io/Logging_1482/tillsynsmail/A 58408-2025 tillsynsbegäran mail.docx", "A 58408-2025")</f>
        <v/>
      </c>
      <c r="AE11">
        <f>HYPERLINK("https://klasma.github.io/Logging_1482/fåglar/A 58408-2025 prioriterade fågelarter.docx", "A 58408-2025")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46254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46254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30860-2026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46212</v>
      </c>
      <c r="E14" s="1" t="n">
        <v>46254</v>
      </c>
      <c r="F14" t="inlineStr">
        <is>
          <t>VÄSTRA GÖTALANDS LÄN</t>
        </is>
      </c>
      <c r="G14" t="inlineStr">
        <is>
          <t>KUNGÄLV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Grönsångare
Västlig hakmossa</t>
        </is>
      </c>
      <c r="W14">
        <f>HYPERLINK("https://klasma.github.io/Logging_1482/artfynd/A 30860-2026 artfynd.xlsx", "A 30860-2026")</f>
        <v/>
      </c>
      <c r="X14">
        <f>HYPERLINK("https://klasma.github.io/Logging_1482/kartor/A 30860-2026 karta.png", "A 30860-2026")</f>
        <v/>
      </c>
      <c r="Y14">
        <f>HYPERLINK("https://klasma.github.io/Logging_1482/kartor_geotiff/A 30860-2026 georefererad karta.tif", "A 30860-2026")</f>
        <v/>
      </c>
      <c r="AA14">
        <f>HYPERLINK("https://klasma.github.io/Logging_1482/klagomål/A 30860-2026 FSC-klagomål.docx", "A 30860-2026")</f>
        <v/>
      </c>
      <c r="AB14">
        <f>HYPERLINK("https://klasma.github.io/Logging_1482/klagomålsmail/A 30860-2026 FSC-klagomål mail.docx", "A 30860-2026")</f>
        <v/>
      </c>
      <c r="AC14">
        <f>HYPERLINK("https://klasma.github.io/Logging_1482/tillsyn/A 30860-2026 tillsynsbegäran.docx", "A 30860-2026")</f>
        <v/>
      </c>
      <c r="AD14">
        <f>HYPERLINK("https://klasma.github.io/Logging_1482/tillsynsmail/A 30860-2026 tillsynsbegäran mail.docx", "A 30860-2026")</f>
        <v/>
      </c>
      <c r="AE14">
        <f>HYPERLINK("https://klasma.github.io/Logging_1482/fåglar/A 30860-2026 prioriterade fågelarter.docx", "A 30860-2026")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46254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46254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46254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46254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46254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46254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Grönvit nattviol</t>
        </is>
      </c>
      <c r="W20">
        <f>HYPERLINK("https://klasma.github.io/Logging_1482/artfynd/A 30862-2026 artfynd.xlsx", "A 30862-2026")</f>
        <v/>
      </c>
      <c r="X20">
        <f>HYPERLINK("https://klasma.github.io/Logging_1482/kartor/A 30862-2026 karta.png", "A 30862-2026")</f>
        <v/>
      </c>
      <c r="Y20">
        <f>HYPERLINK("https://klasma.github.io/Logging_1482/kartor_geotiff/A 30862-2026 georefererad karta.tif", "A 30862-2026")</f>
        <v/>
      </c>
      <c r="AA20">
        <f>HYPERLINK("https://klasma.github.io/Logging_1482/klagomål/A 30862-2026 FSC-klagomål.docx", "A 30862-2026")</f>
        <v/>
      </c>
      <c r="AB20">
        <f>HYPERLINK("https://klasma.github.io/Logging_1482/klagomålsmail/A 30862-2026 FSC-klagomål mail.docx", "A 30862-2026")</f>
        <v/>
      </c>
      <c r="AC20">
        <f>HYPERLINK("https://klasma.github.io/Logging_1482/tillsyn/A 30862-2026 tillsynsbegäran.docx", "A 30862-2026")</f>
        <v/>
      </c>
      <c r="AD20">
        <f>HYPERLINK("https://klasma.github.io/Logging_1482/tillsynsmail/A 30862-2026 tillsynsbegäran mail.docx", "A 30862-2026")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46254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46254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46254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46254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46254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46254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46254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46254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46254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46254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46254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46254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46254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46254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46254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46254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46254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46254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46254</v>
      </c>
      <c r="F40" t="inlineStr">
        <is>
          <t>VÄSTRA GÖTALANDS LÄN</t>
        </is>
      </c>
      <c r="G40" t="inlineStr">
        <is>
          <t>KUNGÄLV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46254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45347</v>
      </c>
      <c r="E42" s="1" t="n">
        <v>46254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8334-2023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44975</v>
      </c>
      <c r="E43" s="1" t="n">
        <v>46254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46254</v>
      </c>
      <c r="F44" t="inlineStr">
        <is>
          <t>VÄSTRA GÖTALANDS LÄN</t>
        </is>
      </c>
      <c r="G44" t="inlineStr">
        <is>
          <t>KUNGÄLV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46254</v>
      </c>
      <c r="F45" t="inlineStr">
        <is>
          <t>VÄSTRA GÖTALANDS LÄN</t>
        </is>
      </c>
      <c r="G45" t="inlineStr">
        <is>
          <t>KUNGÄLV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45308</v>
      </c>
      <c r="E46" s="1" t="n">
        <v>46254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46254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46254</v>
      </c>
      <c r="F48" t="inlineStr">
        <is>
          <t>VÄSTRA GÖTALANDS LÄN</t>
        </is>
      </c>
      <c r="G48" t="inlineStr">
        <is>
          <t>KUNGÄLV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44989</v>
      </c>
      <c r="E49" s="1" t="n">
        <v>46254</v>
      </c>
      <c r="F49" t="inlineStr">
        <is>
          <t>VÄSTRA GÖTALANDS LÄN</t>
        </is>
      </c>
      <c r="G49" t="inlineStr">
        <is>
          <t>KUNGÄLV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46254</v>
      </c>
      <c r="F50" t="inlineStr">
        <is>
          <t>VÄSTRA GÖTALANDS LÄN</t>
        </is>
      </c>
      <c r="G50" t="inlineStr">
        <is>
          <t>KUNGÄLV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46157</v>
      </c>
      <c r="E51" s="1" t="n">
        <v>46254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32391-2025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45837</v>
      </c>
      <c r="E52" s="1" t="n">
        <v>46254</v>
      </c>
      <c r="F52" t="inlineStr">
        <is>
          <t>VÄSTRA GÖTALANDS LÄN</t>
        </is>
      </c>
      <c r="G52" t="inlineStr">
        <is>
          <t>KUNGÄLV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23607-2026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46254</v>
      </c>
      <c r="F53" t="inlineStr">
        <is>
          <t>VÄSTRA GÖTALANDS LÄN</t>
        </is>
      </c>
      <c r="G53" t="inlineStr">
        <is>
          <t>KUNGÄLV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46254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46254</v>
      </c>
      <c r="F55" t="inlineStr">
        <is>
          <t>VÄSTRA GÖTALANDS LÄN</t>
        </is>
      </c>
      <c r="G55" t="inlineStr">
        <is>
          <t>KUNGÄLV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46254</v>
      </c>
      <c r="F56" t="inlineStr">
        <is>
          <t>VÄSTRA GÖTALANDS LÄN</t>
        </is>
      </c>
      <c r="G56" t="inlineStr">
        <is>
          <t>KUNGÄLV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62979-2023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45271</v>
      </c>
      <c r="E57" s="1" t="n">
        <v>46254</v>
      </c>
      <c r="F57" t="inlineStr">
        <is>
          <t>VÄSTRA GÖTALANDS LÄN</t>
        </is>
      </c>
      <c r="G57" t="inlineStr">
        <is>
          <t>KUNGÄLV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46254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46254</v>
      </c>
      <c r="F59" t="inlineStr">
        <is>
          <t>VÄSTRA GÖTALANDS LÄN</t>
        </is>
      </c>
      <c r="G59" t="inlineStr">
        <is>
          <t>KUNGÄLV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46254</v>
      </c>
      <c r="F60" t="inlineStr">
        <is>
          <t>VÄSTRA GÖTALANDS LÄN</t>
        </is>
      </c>
      <c r="G60" t="inlineStr">
        <is>
          <t>KUNGÄLV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46254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46254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46254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46254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46254</v>
      </c>
      <c r="F65" t="inlineStr">
        <is>
          <t>VÄSTRA GÖTALANDS LÄN</t>
        </is>
      </c>
      <c r="G65" t="inlineStr">
        <is>
          <t>KUNGÄLV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46254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46254</v>
      </c>
      <c r="F67" t="inlineStr">
        <is>
          <t>VÄSTRA GÖTALANDS LÄN</t>
        </is>
      </c>
      <c r="G67" t="inlineStr">
        <is>
          <t>KUNGÄLV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44928</v>
      </c>
      <c r="E68" s="1" t="n">
        <v>46254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46254</v>
      </c>
      <c r="F69" t="inlineStr">
        <is>
          <t>VÄSTRA GÖTALANDS LÄN</t>
        </is>
      </c>
      <c r="G69" t="inlineStr">
        <is>
          <t>KUNGÄLV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46254</v>
      </c>
      <c r="F70" t="inlineStr">
        <is>
          <t>VÄSTRA GÖTALANDS LÄN</t>
        </is>
      </c>
      <c r="G70" t="inlineStr">
        <is>
          <t>KUNGÄLV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46254</v>
      </c>
      <c r="F71" t="inlineStr">
        <is>
          <t>VÄSTRA GÖTALANDS LÄN</t>
        </is>
      </c>
      <c r="G71" t="inlineStr">
        <is>
          <t>KUNGÄLV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46211</v>
      </c>
      <c r="E72" s="1" t="n">
        <v>46254</v>
      </c>
      <c r="F72" t="inlineStr">
        <is>
          <t>VÄSTRA GÖTALANDS LÄN</t>
        </is>
      </c>
      <c r="G72" t="inlineStr">
        <is>
          <t>KUNGÄLV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46254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46254</v>
      </c>
      <c r="F74" t="inlineStr">
        <is>
          <t>VÄSTRA GÖTALANDS LÄN</t>
        </is>
      </c>
      <c r="G74" t="inlineStr">
        <is>
          <t>KUNGÄLV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24461-2023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46254</v>
      </c>
      <c r="F75" t="inlineStr">
        <is>
          <t>VÄSTRA GÖTALANDS LÄN</t>
        </is>
      </c>
      <c r="G75" t="inlineStr">
        <is>
          <t>KUNGÄLV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45391</v>
      </c>
      <c r="E76" s="1" t="n">
        <v>46254</v>
      </c>
      <c r="F76" t="inlineStr">
        <is>
          <t>VÄSTRA GÖTALANDS LÄN</t>
        </is>
      </c>
      <c r="G76" t="inlineStr">
        <is>
          <t>KUNGÄLV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44792</v>
      </c>
      <c r="E77" s="1" t="n">
        <v>46254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46048</v>
      </c>
      <c r="E78" s="1" t="n">
        <v>46254</v>
      </c>
      <c r="F78" t="inlineStr">
        <is>
          <t>VÄSTRA GÖTALANDS LÄN</t>
        </is>
      </c>
      <c r="G78" t="inlineStr">
        <is>
          <t>KUNGÄLV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6946-2026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46057</v>
      </c>
      <c r="E79" s="1" t="n">
        <v>46254</v>
      </c>
      <c r="F79" t="inlineStr">
        <is>
          <t>VÄSTRA GÖTALANDS LÄN</t>
        </is>
      </c>
      <c r="G79" t="inlineStr">
        <is>
          <t>KUNGÄLV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46254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46254</v>
      </c>
      <c r="F81" t="inlineStr">
        <is>
          <t>VÄSTRA GÖTALANDS LÄN</t>
        </is>
      </c>
      <c r="G81" t="inlineStr">
        <is>
          <t>KUNGÄLV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46254</v>
      </c>
      <c r="F82" t="inlineStr">
        <is>
          <t>VÄSTRA GÖTALANDS LÄN</t>
        </is>
      </c>
      <c r="G82" t="inlineStr">
        <is>
          <t>KUNGÄLV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46254</v>
      </c>
      <c r="F83" t="inlineStr">
        <is>
          <t>VÄSTRA GÖTALANDS LÄN</t>
        </is>
      </c>
      <c r="G83" t="inlineStr">
        <is>
          <t>KUNGÄLV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46254</v>
      </c>
      <c r="F84" t="inlineStr">
        <is>
          <t>VÄSTRA GÖTALANDS LÄN</t>
        </is>
      </c>
      <c r="G84" t="inlineStr">
        <is>
          <t>KUNGÄLV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46254</v>
      </c>
      <c r="F85" t="inlineStr">
        <is>
          <t>VÄSTRA GÖTALANDS LÄN</t>
        </is>
      </c>
      <c r="G85" t="inlineStr">
        <is>
          <t>KUNGÄLV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63319-2021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46254</v>
      </c>
      <c r="F86" t="inlineStr">
        <is>
          <t>VÄSTRA GÖTALANDS LÄN</t>
        </is>
      </c>
      <c r="G86" t="inlineStr">
        <is>
          <t>KUNGÄLV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46254</v>
      </c>
      <c r="F87" t="inlineStr">
        <is>
          <t>VÄSTRA GÖTALANDS LÄN</t>
        </is>
      </c>
      <c r="G87" t="inlineStr">
        <is>
          <t>KUNGÄLV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46254</v>
      </c>
      <c r="F88" t="inlineStr">
        <is>
          <t>VÄSTRA GÖTALANDS LÄN</t>
        </is>
      </c>
      <c r="G88" t="inlineStr">
        <is>
          <t>KUNGÄLV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46254</v>
      </c>
      <c r="F89" t="inlineStr">
        <is>
          <t>VÄSTRA GÖTALANDS LÄN</t>
        </is>
      </c>
      <c r="G89" t="inlineStr">
        <is>
          <t>KUNGÄLV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46254</v>
      </c>
      <c r="F90" t="inlineStr">
        <is>
          <t>VÄSTRA GÖTALANDS LÄN</t>
        </is>
      </c>
      <c r="G90" t="inlineStr">
        <is>
          <t>KUNGÄLV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46254</v>
      </c>
      <c r="F91" t="inlineStr">
        <is>
          <t>VÄSTRA GÖTALANDS LÄN</t>
        </is>
      </c>
      <c r="G91" t="inlineStr">
        <is>
          <t>KUNGÄLV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74285-2021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44558</v>
      </c>
      <c r="E92" s="1" t="n">
        <v>46254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46254</v>
      </c>
      <c r="F93" t="inlineStr">
        <is>
          <t>VÄSTRA GÖTALANDS LÄN</t>
        </is>
      </c>
      <c r="G93" t="inlineStr">
        <is>
          <t>KUNGÄLV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46254</v>
      </c>
      <c r="F94" t="inlineStr">
        <is>
          <t>VÄSTRA GÖTALANDS LÄN</t>
        </is>
      </c>
      <c r="G94" t="inlineStr">
        <is>
          <t>KUNGÄLV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45124</v>
      </c>
      <c r="E95" s="1" t="n">
        <v>46254</v>
      </c>
      <c r="F95" t="inlineStr">
        <is>
          <t>VÄSTRA GÖTALANDS LÄN</t>
        </is>
      </c>
      <c r="G95" t="inlineStr">
        <is>
          <t>KUNGÄLV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45844</v>
      </c>
      <c r="E96" s="1" t="n">
        <v>46254</v>
      </c>
      <c r="F96" t="inlineStr">
        <is>
          <t>VÄSTRA GÖTALANDS LÄN</t>
        </is>
      </c>
      <c r="G96" t="inlineStr">
        <is>
          <t>KUNGÄLV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46254</v>
      </c>
      <c r="F97" t="inlineStr">
        <is>
          <t>VÄSTRA GÖTALANDS LÄN</t>
        </is>
      </c>
      <c r="G97" t="inlineStr">
        <is>
          <t>KUNGÄLV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46254</v>
      </c>
      <c r="F98" t="inlineStr">
        <is>
          <t>VÄSTRA GÖTALANDS LÄN</t>
        </is>
      </c>
      <c r="G98" t="inlineStr">
        <is>
          <t>KUNGÄLV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46254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817-2024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45371</v>
      </c>
      <c r="E100" s="1" t="n">
        <v>46254</v>
      </c>
      <c r="F100" t="inlineStr">
        <is>
          <t>VÄSTRA GÖTALANDS LÄN</t>
        </is>
      </c>
      <c r="G100" t="inlineStr">
        <is>
          <t>KUNGÄLV</t>
        </is>
      </c>
      <c r="H100" t="inlineStr">
        <is>
          <t>Övriga statliga verk och myndigheter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2026-08-20T01:49:48Z</dcterms:created>
  <dcterms:modified xmlns:dcterms="http://purl.org/dc/terms/" xmlns:xsi="http://www.w3.org/2001/XMLSchema-instance" xsi:type="dcterms:W3CDTF">2026-08-20T01:49:49Z</dcterms:modified>
</cp:coreProperties>
</file>