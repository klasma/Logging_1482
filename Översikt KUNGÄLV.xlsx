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46048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46048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46048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46048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46048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46048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46048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46048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46048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46048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46048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46048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46048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46048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46048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46048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45243-2025</t>
        </is>
      </c>
      <c r="B20" s="1" t="n">
        <v>45919.60089120371</v>
      </c>
      <c r="C20" s="1" t="n">
        <v>46048</v>
      </c>
      <c r="D20" t="inlineStr">
        <is>
          <t>VÄSTRA GÖTALANDS LÄN</t>
        </is>
      </c>
      <c r="E20" t="inlineStr">
        <is>
          <t>KUNGÄLV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45243-2025 artfynd.xlsx", "A 45243-2025")</f>
        <v/>
      </c>
      <c r="T20">
        <f>HYPERLINK("https://klasma.github.io/Logging_1482/kartor/A 45243-2025 karta.png", "A 45243-2025")</f>
        <v/>
      </c>
      <c r="V20">
        <f>HYPERLINK("https://klasma.github.io/Logging_1482/klagomål/A 45243-2025 FSC-klagomål.docx", "A 45243-2025")</f>
        <v/>
      </c>
      <c r="W20">
        <f>HYPERLINK("https://klasma.github.io/Logging_1482/klagomålsmail/A 45243-2025 FSC-klagomål mail.docx", "A 45243-2025")</f>
        <v/>
      </c>
      <c r="X20">
        <f>HYPERLINK("https://klasma.github.io/Logging_1482/tillsyn/A 45243-2025 tillsynsbegäran.docx", "A 45243-2025")</f>
        <v/>
      </c>
      <c r="Y20">
        <f>HYPERLINK("https://klasma.github.io/Logging_1482/tillsynsmail/A 45243-2025 tillsynsbegäran mail.docx", "A 45243-2025")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46048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46048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46048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46048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46048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46048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46048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46048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46048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46048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46048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46048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50648-2021</t>
        </is>
      </c>
      <c r="B34" s="1" t="n">
        <v>44459.89270833333</v>
      </c>
      <c r="C34" s="1" t="n">
        <v>46048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46048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46048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46048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46048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46048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46048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49981-2023</t>
        </is>
      </c>
      <c r="B41" s="1" t="n">
        <v>45215</v>
      </c>
      <c r="C41" s="1" t="n">
        <v>46048</v>
      </c>
      <c r="D41" t="inlineStr">
        <is>
          <t>VÄSTRA GÖTALANDS LÄN</t>
        </is>
      </c>
      <c r="E41" t="inlineStr">
        <is>
          <t>KUNGÄLV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46048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56782-2022</t>
        </is>
      </c>
      <c r="B43" s="1" t="n">
        <v>44894.39475694444</v>
      </c>
      <c r="C43" s="1" t="n">
        <v>46048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46048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5631-2024</t>
        </is>
      </c>
      <c r="B45" s="1" t="n">
        <v>45334.61013888889</v>
      </c>
      <c r="C45" s="1" t="n">
        <v>46048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46048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21579-2025</t>
        </is>
      </c>
      <c r="B47" s="1" t="n">
        <v>45782.91234953704</v>
      </c>
      <c r="C47" s="1" t="n">
        <v>46048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46048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46048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46048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30170-2022</t>
        </is>
      </c>
      <c r="B51" s="1" t="n">
        <v>44757</v>
      </c>
      <c r="C51" s="1" t="n">
        <v>46048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46048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46048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4204-2024</t>
        </is>
      </c>
      <c r="B54" s="1" t="n">
        <v>45324.36422453704</v>
      </c>
      <c r="C54" s="1" t="n">
        <v>46048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46048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10679-2025</t>
        </is>
      </c>
      <c r="B56" s="1" t="n">
        <v>45721.89462962963</v>
      </c>
      <c r="C56" s="1" t="n">
        <v>46048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8943-2025</t>
        </is>
      </c>
      <c r="B57" s="1" t="n">
        <v>45713.45105324074</v>
      </c>
      <c r="C57" s="1" t="n">
        <v>46048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11237-2025</t>
        </is>
      </c>
      <c r="B58" s="1" t="n">
        <v>45726.36668981481</v>
      </c>
      <c r="C58" s="1" t="n">
        <v>46048</v>
      </c>
      <c r="D58" t="inlineStr">
        <is>
          <t>VÄSTRA GÖTALANDS LÄN</t>
        </is>
      </c>
      <c r="E58" t="inlineStr">
        <is>
          <t>KUNGÄLV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15078-2025</t>
        </is>
      </c>
      <c r="B59" s="1" t="n">
        <v>45743.84284722222</v>
      </c>
      <c r="C59" s="1" t="n">
        <v>46048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55830-2024</t>
        </is>
      </c>
      <c r="B60" s="1" t="n">
        <v>45623.48478009259</v>
      </c>
      <c r="C60" s="1" t="n">
        <v>46048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74285-2021</t>
        </is>
      </c>
      <c r="B61" s="1" t="n">
        <v>44558</v>
      </c>
      <c r="C61" s="1" t="n">
        <v>46048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62128-2021</t>
        </is>
      </c>
      <c r="B62" s="1" t="n">
        <v>44502</v>
      </c>
      <c r="C62" s="1" t="n">
        <v>46048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62979-2023</t>
        </is>
      </c>
      <c r="B63" s="1" t="n">
        <v>45271</v>
      </c>
      <c r="C63" s="1" t="n">
        <v>46048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19531-2023</t>
        </is>
      </c>
      <c r="B64" s="1" t="n">
        <v>45050.54896990741</v>
      </c>
      <c r="C64" s="1" t="n">
        <v>46048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46048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46048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46048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46048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46048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13529-2024</t>
        </is>
      </c>
      <c r="B70" s="1" t="n">
        <v>45387.84504629629</v>
      </c>
      <c r="C70" s="1" t="n">
        <v>46048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32847-2023</t>
        </is>
      </c>
      <c r="B71" s="1" t="n">
        <v>45124.61965277778</v>
      </c>
      <c r="C71" s="1" t="n">
        <v>46048</v>
      </c>
      <c r="D71" t="inlineStr">
        <is>
          <t>VÄSTRA GÖTALANDS LÄN</t>
        </is>
      </c>
      <c r="E71" t="inlineStr">
        <is>
          <t>KUNGÄLV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44176-2023</t>
        </is>
      </c>
      <c r="B72" s="1" t="n">
        <v>45188</v>
      </c>
      <c r="C72" s="1" t="n">
        <v>46048</v>
      </c>
      <c r="D72" t="inlineStr">
        <is>
          <t>VÄSTRA GÖTALANDS LÄN</t>
        </is>
      </c>
      <c r="E72" t="inlineStr">
        <is>
          <t>KUNGÄLV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8334-2023</t>
        </is>
      </c>
      <c r="B73" s="1" t="n">
        <v>44975</v>
      </c>
      <c r="C73" s="1" t="n">
        <v>46048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46048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46048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46048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25135-2025</t>
        </is>
      </c>
      <c r="B77" s="1" t="n">
        <v>45798</v>
      </c>
      <c r="C77" s="1" t="n">
        <v>46048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43520-2022</t>
        </is>
      </c>
      <c r="B78" s="1" t="n">
        <v>44837.37417824074</v>
      </c>
      <c r="C78" s="1" t="n">
        <v>46048</v>
      </c>
      <c r="D78" t="inlineStr">
        <is>
          <t>VÄSTRA GÖTALANDS LÄN</t>
        </is>
      </c>
      <c r="E78" t="inlineStr">
        <is>
          <t>KUNGÄLV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46048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32391-2025</t>
        </is>
      </c>
      <c r="B80" s="1" t="n">
        <v>45837.90662037037</v>
      </c>
      <c r="C80" s="1" t="n">
        <v>46048</v>
      </c>
      <c r="D80" t="inlineStr">
        <is>
          <t>VÄSTRA GÖTALANDS LÄN</t>
        </is>
      </c>
      <c r="E80" t="inlineStr">
        <is>
          <t>KUNGÄLV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45837.9102199074</v>
      </c>
      <c r="C81" s="1" t="n">
        <v>46048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46048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46048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46048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46048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16538-2025</t>
        </is>
      </c>
      <c r="B86" s="1" t="n">
        <v>45751.66126157407</v>
      </c>
      <c r="C86" s="1" t="n">
        <v>46048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46048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46048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25624-2025</t>
        </is>
      </c>
      <c r="B89" s="1" t="n">
        <v>45803.57885416667</v>
      </c>
      <c r="C89" s="1" t="n">
        <v>46048</v>
      </c>
      <c r="D89" t="inlineStr">
        <is>
          <t>VÄSTRA GÖTALANDS LÄN</t>
        </is>
      </c>
      <c r="E89" t="inlineStr">
        <is>
          <t>KUNGÄLV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24461-2023</t>
        </is>
      </c>
      <c r="B90" s="1" t="n">
        <v>45082</v>
      </c>
      <c r="C90" s="1" t="n">
        <v>46048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13880-2024</t>
        </is>
      </c>
      <c r="B91" s="1" t="n">
        <v>45391.59994212963</v>
      </c>
      <c r="C91" s="1" t="n">
        <v>46048</v>
      </c>
      <c r="D91" t="inlineStr">
        <is>
          <t>VÄSTRA GÖTALANDS LÄN</t>
        </is>
      </c>
      <c r="E91" t="inlineStr">
        <is>
          <t>KUNGÄLV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36055-2025</t>
        </is>
      </c>
      <c r="B92" s="1" t="n">
        <v>45866</v>
      </c>
      <c r="C92" s="1" t="n">
        <v>46048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41442-2025</t>
        </is>
      </c>
      <c r="B93" s="1" t="n">
        <v>45869</v>
      </c>
      <c r="C93" s="1" t="n">
        <v>46048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46048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46048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18851-2024</t>
        </is>
      </c>
      <c r="B96" s="1" t="n">
        <v>45426.69</v>
      </c>
      <c r="C96" s="1" t="n">
        <v>46048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46048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37443-2025</t>
        </is>
      </c>
      <c r="B98" s="1" t="n">
        <v>45877.54152777778</v>
      </c>
      <c r="C98" s="1" t="n">
        <v>46048</v>
      </c>
      <c r="D98" t="inlineStr">
        <is>
          <t>VÄSTRA GÖTALANDS LÄN</t>
        </is>
      </c>
      <c r="E98" t="inlineStr">
        <is>
          <t>KUNGÄLV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17922-2025</t>
        </is>
      </c>
      <c r="B99" s="1" t="n">
        <v>45758.90710648148</v>
      </c>
      <c r="C99" s="1" t="n">
        <v>46048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46048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40951-2025</t>
        </is>
      </c>
      <c r="B101" s="1" t="n">
        <v>45897.66342592592</v>
      </c>
      <c r="C101" s="1" t="n">
        <v>46048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46048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46048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46048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46048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46048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45910.45111111111</v>
      </c>
      <c r="C107" s="1" t="n">
        <v>46048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45124-2025</t>
        </is>
      </c>
      <c r="B108" s="1" t="n">
        <v>45919.43206018519</v>
      </c>
      <c r="C108" s="1" t="n">
        <v>46048</v>
      </c>
      <c r="D108" t="inlineStr">
        <is>
          <t>VÄSTRA GÖTALANDS LÄN</t>
        </is>
      </c>
      <c r="E108" t="inlineStr">
        <is>
          <t>KUNGÄLV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46588-2025</t>
        </is>
      </c>
      <c r="B109" s="1" t="n">
        <v>45926.39152777778</v>
      </c>
      <c r="C109" s="1" t="n">
        <v>46048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47564-2025</t>
        </is>
      </c>
      <c r="B110" s="1" t="n">
        <v>45931.38982638889</v>
      </c>
      <c r="C110" s="1" t="n">
        <v>46048</v>
      </c>
      <c r="D110" t="inlineStr">
        <is>
          <t>VÄSTRA GÖTALANDS LÄN</t>
        </is>
      </c>
      <c r="E110" t="inlineStr">
        <is>
          <t>KUNGÄLV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47569-2025</t>
        </is>
      </c>
      <c r="B111" s="1" t="n">
        <v>45931.39331018519</v>
      </c>
      <c r="C111" s="1" t="n">
        <v>46048</v>
      </c>
      <c r="D111" t="inlineStr">
        <is>
          <t>VÄSTRA GÖTALANDS LÄN</t>
        </is>
      </c>
      <c r="E111" t="inlineStr">
        <is>
          <t>KUNGÄLV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46048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52932-2025</t>
        </is>
      </c>
      <c r="B113" s="1" t="n">
        <v>45957.62373842593</v>
      </c>
      <c r="C113" s="1" t="n">
        <v>46048</v>
      </c>
      <c r="D113" t="inlineStr">
        <is>
          <t>VÄSTRA GÖTALANDS LÄN</t>
        </is>
      </c>
      <c r="E113" t="inlineStr">
        <is>
          <t>KUNGÄLV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56394-2025</t>
        </is>
      </c>
      <c r="B114" s="1" t="n">
        <v>45974.74313657408</v>
      </c>
      <c r="C114" s="1" t="n">
        <v>46048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58408-2025</t>
        </is>
      </c>
      <c r="B115" s="1" t="n">
        <v>45985.56969907408</v>
      </c>
      <c r="C115" s="1" t="n">
        <v>46048</v>
      </c>
      <c r="D115" t="inlineStr">
        <is>
          <t>VÄSTRA GÖTALANDS LÄN</t>
        </is>
      </c>
      <c r="E115" t="inlineStr">
        <is>
          <t>KUNGÄLV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34366-2022</t>
        </is>
      </c>
      <c r="B116" s="1" t="n">
        <v>44792</v>
      </c>
      <c r="C116" s="1" t="n">
        <v>46048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2026-01-26T11:05:19Z</dcterms:created>
  <dcterms:modified xmlns:dcterms="http://purl.org/dc/terms/" xmlns:xsi="http://www.w3.org/2001/XMLSchema-instance" xsi:type="dcterms:W3CDTF">2026-01-26T11:05:19Z</dcterms:modified>
</cp:coreProperties>
</file>