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46140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46140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46140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46140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46140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8558-2024</t>
        </is>
      </c>
      <c r="B7" s="1" t="n">
        <v>45355.57679398148</v>
      </c>
      <c r="C7" s="1" t="n">
        <v>46140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46140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36424-2025</t>
        </is>
      </c>
      <c r="B9" s="1" t="n">
        <v>45868.90353009259</v>
      </c>
      <c r="C9" s="1" t="n">
        <v>46140</v>
      </c>
      <c r="D9" t="inlineStr">
        <is>
          <t>VÄSTRA GÖTALANDS LÄN</t>
        </is>
      </c>
      <c r="E9" t="inlineStr">
        <is>
          <t>KUNGÄLV</t>
        </is>
      </c>
      <c r="G9" t="n">
        <v>16.9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Vedtrappmossa
Västlig hakmossa</t>
        </is>
      </c>
      <c r="S9">
        <f>HYPERLINK("https://klasma.github.io/Logging_1482/artfynd/A 36424-2025 artfynd.xlsx", "A 36424-2025")</f>
        <v/>
      </c>
      <c r="T9">
        <f>HYPERLINK("https://klasma.github.io/Logging_1482/kartor/A 36424-2025 karta.png", "A 36424-2025")</f>
        <v/>
      </c>
      <c r="V9">
        <f>HYPERLINK("https://klasma.github.io/Logging_1482/klagomål/A 36424-2025 FSC-klagomål.docx", "A 36424-2025")</f>
        <v/>
      </c>
      <c r="W9">
        <f>HYPERLINK("https://klasma.github.io/Logging_1482/klagomålsmail/A 36424-2025 FSC-klagomål mail.docx", "A 36424-2025")</f>
        <v/>
      </c>
      <c r="X9">
        <f>HYPERLINK("https://klasma.github.io/Logging_1482/tillsyn/A 36424-2025 tillsynsbegäran.docx", "A 36424-2025")</f>
        <v/>
      </c>
      <c r="Y9">
        <f>HYPERLINK("https://klasma.github.io/Logging_1482/tillsynsmail/A 36424-2025 tillsynsbegäran mail.docx", "A 36424-2025")</f>
        <v/>
      </c>
      <c r="Z9">
        <f>HYPERLINK("https://klasma.github.io/Logging_1482/fåglar/A 36424-2025 prioriterade fågelarter.docx", "A 36424-2025")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46140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46140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46140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5637-2024</t>
        </is>
      </c>
      <c r="B13" s="1" t="n">
        <v>45334.6115162037</v>
      </c>
      <c r="C13" s="1" t="n">
        <v>46140</v>
      </c>
      <c r="D13" t="inlineStr">
        <is>
          <t>VÄSTRA GÖTALANDS LÄN</t>
        </is>
      </c>
      <c r="E13" t="inlineStr">
        <is>
          <t>KUNGÄLV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Klofibbla
Åkerrödtoppa</t>
        </is>
      </c>
      <c r="S13">
        <f>HYPERLINK("https://klasma.github.io/Logging_1482/artfynd/A 5637-2024 artfynd.xlsx", "A 5637-2024")</f>
        <v/>
      </c>
      <c r="T13">
        <f>HYPERLINK("https://klasma.github.io/Logging_1482/kartor/A 5637-2024 karta.png", "A 5637-2024")</f>
        <v/>
      </c>
      <c r="V13">
        <f>HYPERLINK("https://klasma.github.io/Logging_1482/klagomål/A 5637-2024 FSC-klagomål.docx", "A 5637-2024")</f>
        <v/>
      </c>
      <c r="W13">
        <f>HYPERLINK("https://klasma.github.io/Logging_1482/klagomålsmail/A 5637-2024 FSC-klagomål mail.docx", "A 5637-2024")</f>
        <v/>
      </c>
      <c r="X13">
        <f>HYPERLINK("https://klasma.github.io/Logging_1482/tillsyn/A 5637-2024 tillsynsbegäran.docx", "A 5637-2024")</f>
        <v/>
      </c>
      <c r="Y13">
        <f>HYPERLINK("https://klasma.github.io/Logging_1482/tillsynsmail/A 5637-2024 tillsynsbegäran mail.docx", "A 5637-2024")</f>
        <v/>
      </c>
    </row>
    <row r="14" ht="15" customHeight="1">
      <c r="A14" t="inlineStr">
        <is>
          <t>A 48345-2021</t>
        </is>
      </c>
      <c r="B14" s="1" t="n">
        <v>44451</v>
      </c>
      <c r="C14" s="1" t="n">
        <v>46140</v>
      </c>
      <c r="D14" t="inlineStr">
        <is>
          <t>VÄSTRA GÖTALANDS LÄN</t>
        </is>
      </c>
      <c r="E14" t="inlineStr">
        <is>
          <t>KUNGÄLV</t>
        </is>
      </c>
      <c r="G14" t="n">
        <v>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HYPERLINK("https://klasma.github.io/Logging_1482/artfynd/A 48345-2021 artfynd.xlsx", "A 48345-2021")</f>
        <v/>
      </c>
      <c r="T14">
        <f>HYPERLINK("https://klasma.github.io/Logging_1482/kartor/A 48345-2021 karta.png", "A 48345-2021")</f>
        <v/>
      </c>
      <c r="V14">
        <f>HYPERLINK("https://klasma.github.io/Logging_1482/klagomål/A 48345-2021 FSC-klagomål.docx", "A 48345-2021")</f>
        <v/>
      </c>
      <c r="W14">
        <f>HYPERLINK("https://klasma.github.io/Logging_1482/klagomålsmail/A 48345-2021 FSC-klagomål mail.docx", "A 48345-2021")</f>
        <v/>
      </c>
      <c r="X14">
        <f>HYPERLINK("https://klasma.github.io/Logging_1482/tillsyn/A 48345-2021 tillsynsbegäran.docx", "A 48345-2021")</f>
        <v/>
      </c>
      <c r="Y14">
        <f>HYPERLINK("https://klasma.github.io/Logging_1482/tillsynsmail/A 48345-2021 tillsynsbegäran mail.docx", "A 48345-2021")</f>
        <v/>
      </c>
      <c r="Z14">
        <f>HYPERLINK("https://klasma.github.io/Logging_1482/fåglar/A 48345-2021 prioriterade fågelarter.docx", "A 48345-2021")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46140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46140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38103-2025</t>
        </is>
      </c>
      <c r="B17" s="1" t="n">
        <v>45882.49244212963</v>
      </c>
      <c r="C17" s="1" t="n">
        <v>46140</v>
      </c>
      <c r="D17" t="inlineStr">
        <is>
          <t>VÄSTRA GÖTALANDS LÄN</t>
        </is>
      </c>
      <c r="E17" t="inlineStr">
        <is>
          <t>KUNGÄLV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38103-2025 artfynd.xlsx", "A 38103-2025")</f>
        <v/>
      </c>
      <c r="T17">
        <f>HYPERLINK("https://klasma.github.io/Logging_1482/kartor/A 38103-2025 karta.png", "A 38103-2025")</f>
        <v/>
      </c>
      <c r="V17">
        <f>HYPERLINK("https://klasma.github.io/Logging_1482/klagomål/A 38103-2025 FSC-klagomål.docx", "A 38103-2025")</f>
        <v/>
      </c>
      <c r="W17">
        <f>HYPERLINK("https://klasma.github.io/Logging_1482/klagomålsmail/A 38103-2025 FSC-klagomål mail.docx", "A 38103-2025")</f>
        <v/>
      </c>
      <c r="X17">
        <f>HYPERLINK("https://klasma.github.io/Logging_1482/tillsyn/A 38103-2025 tillsynsbegäran.docx", "A 38103-2025")</f>
        <v/>
      </c>
      <c r="Y17">
        <f>HYPERLINK("https://klasma.github.io/Logging_1482/tillsynsmail/A 38103-2025 tillsynsbegäran mail.docx", "A 38103-2025")</f>
        <v/>
      </c>
      <c r="Z17">
        <f>HYPERLINK("https://klasma.github.io/Logging_1482/fåglar/A 38103-2025 prioriterade fågelarter.docx", "A 38103-2025")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46140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6082-2025</t>
        </is>
      </c>
      <c r="B19" s="1" t="n">
        <v>45697</v>
      </c>
      <c r="C19" s="1" t="n">
        <v>46140</v>
      </c>
      <c r="D19" t="inlineStr">
        <is>
          <t>VÄSTRA GÖTALANDS LÄN</t>
        </is>
      </c>
      <c r="E19" t="inlineStr">
        <is>
          <t>KUNGÄLV</t>
        </is>
      </c>
      <c r="G19" t="n">
        <v>2.8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6082-2025 artfynd.xlsx", "A 6082-2025")</f>
        <v/>
      </c>
      <c r="T19">
        <f>HYPERLINK("https://klasma.github.io/Logging_1482/kartor/A 6082-2025 karta.png", "A 6082-2025")</f>
        <v/>
      </c>
      <c r="V19">
        <f>HYPERLINK("https://klasma.github.io/Logging_1482/klagomål/A 6082-2025 FSC-klagomål.docx", "A 6082-2025")</f>
        <v/>
      </c>
      <c r="W19">
        <f>HYPERLINK("https://klasma.github.io/Logging_1482/klagomålsmail/A 6082-2025 FSC-klagomål mail.docx", "A 6082-2025")</f>
        <v/>
      </c>
      <c r="X19">
        <f>HYPERLINK("https://klasma.github.io/Logging_1482/tillsyn/A 6082-2025 tillsynsbegäran.docx", "A 6082-2025")</f>
        <v/>
      </c>
      <c r="Y19">
        <f>HYPERLINK("https://klasma.github.io/Logging_1482/tillsynsmail/A 6082-2025 tillsynsbegäran mail.docx", "A 6082-2025")</f>
        <v/>
      </c>
      <c r="Z19">
        <f>HYPERLINK("https://klasma.github.io/Logging_1482/fåglar/A 6082-2025 prioriterade fågelarter.docx", "A 6082-2025")</f>
        <v/>
      </c>
    </row>
    <row r="20" ht="15" customHeight="1">
      <c r="A20" t="inlineStr">
        <is>
          <t>A 33426-2021</t>
        </is>
      </c>
      <c r="B20" s="1" t="n">
        <v>44377</v>
      </c>
      <c r="C20" s="1" t="n">
        <v>46140</v>
      </c>
      <c r="D20" t="inlineStr">
        <is>
          <t>VÄSTRA GÖTALANDS LÄN</t>
        </is>
      </c>
      <c r="E20" t="inlineStr">
        <is>
          <t>KUNGÄLV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HYPERLINK("https://klasma.github.io/Logging_1482/artfynd/A 33426-2021 artfynd.xlsx", "A 33426-2021")</f>
        <v/>
      </c>
      <c r="T20">
        <f>HYPERLINK("https://klasma.github.io/Logging_1482/kartor/A 33426-2021 karta.png", "A 33426-2021")</f>
        <v/>
      </c>
      <c r="V20">
        <f>HYPERLINK("https://klasma.github.io/Logging_1482/klagomål/A 33426-2021 FSC-klagomål.docx", "A 33426-2021")</f>
        <v/>
      </c>
      <c r="W20">
        <f>HYPERLINK("https://klasma.github.io/Logging_1482/klagomålsmail/A 33426-2021 FSC-klagomål mail.docx", "A 33426-2021")</f>
        <v/>
      </c>
      <c r="X20">
        <f>HYPERLINK("https://klasma.github.io/Logging_1482/tillsyn/A 33426-2021 tillsynsbegäran.docx", "A 33426-2021")</f>
        <v/>
      </c>
      <c r="Y20">
        <f>HYPERLINK("https://klasma.github.io/Logging_1482/tillsynsmail/A 33426-2021 tillsynsbegäran mail.docx", "A 33426-2021")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46140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46140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46140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46140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46140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46140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46140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46140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46140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46140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46140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46140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46140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46140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50071-2023</t>
        </is>
      </c>
      <c r="B35" s="1" t="n">
        <v>45215</v>
      </c>
      <c r="C35" s="1" t="n">
        <v>46140</v>
      </c>
      <c r="D35" t="inlineStr">
        <is>
          <t>VÄSTRA GÖTALANDS LÄN</t>
        </is>
      </c>
      <c r="E35" t="inlineStr">
        <is>
          <t>KUNGÄLV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46140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46140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46140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13880-2024</t>
        </is>
      </c>
      <c r="B39" s="1" t="n">
        <v>45391.59994212963</v>
      </c>
      <c r="C39" s="1" t="n">
        <v>46140</v>
      </c>
      <c r="D39" t="inlineStr">
        <is>
          <t>VÄSTRA GÖTALANDS LÄN</t>
        </is>
      </c>
      <c r="E39" t="inlineStr">
        <is>
          <t>KUNGÄLV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1995-2024</t>
        </is>
      </c>
      <c r="B40" s="1" t="n">
        <v>45308</v>
      </c>
      <c r="C40" s="1" t="n">
        <v>46140</v>
      </c>
      <c r="D40" t="inlineStr">
        <is>
          <t>VÄSTRA GÖTALANDS LÄN</t>
        </is>
      </c>
      <c r="E40" t="inlineStr">
        <is>
          <t>KUNGÄLV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45990-2022</t>
        </is>
      </c>
      <c r="B41" s="1" t="n">
        <v>44846</v>
      </c>
      <c r="C41" s="1" t="n">
        <v>46140</v>
      </c>
      <c r="D41" t="inlineStr">
        <is>
          <t>VÄSTRA GÖTALANDS LÄN</t>
        </is>
      </c>
      <c r="E41" t="inlineStr">
        <is>
          <t>KUNGÄLV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21899-2021</t>
        </is>
      </c>
      <c r="B42" s="1" t="n">
        <v>44322</v>
      </c>
      <c r="C42" s="1" t="n">
        <v>46140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41765-2021</t>
        </is>
      </c>
      <c r="B43" s="1" t="n">
        <v>44425</v>
      </c>
      <c r="C43" s="1" t="n">
        <v>46140</v>
      </c>
      <c r="D43" t="inlineStr">
        <is>
          <t>VÄSTRA GÖTALANDS LÄN</t>
        </is>
      </c>
      <c r="E43" t="inlineStr">
        <is>
          <t>KUNGÄLV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43520-2022</t>
        </is>
      </c>
      <c r="B44" s="1" t="n">
        <v>44837.37417824074</v>
      </c>
      <c r="C44" s="1" t="n">
        <v>46140</v>
      </c>
      <c r="D44" t="inlineStr">
        <is>
          <t>VÄSTRA GÖTALANDS LÄN</t>
        </is>
      </c>
      <c r="E44" t="inlineStr">
        <is>
          <t>KUNGÄLV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29223-2024</t>
        </is>
      </c>
      <c r="B45" s="1" t="n">
        <v>45482.81978009259</v>
      </c>
      <c r="C45" s="1" t="n">
        <v>46140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8334-2023</t>
        </is>
      </c>
      <c r="B46" s="1" t="n">
        <v>44975</v>
      </c>
      <c r="C46" s="1" t="n">
        <v>46140</v>
      </c>
      <c r="D46" t="inlineStr">
        <is>
          <t>VÄSTRA GÖTALANDS LÄN</t>
        </is>
      </c>
      <c r="E46" t="inlineStr">
        <is>
          <t>KUNGÄLV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17922-2025</t>
        </is>
      </c>
      <c r="B47" s="1" t="n">
        <v>45758.90710648148</v>
      </c>
      <c r="C47" s="1" t="n">
        <v>46140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55830-2024</t>
        </is>
      </c>
      <c r="B48" s="1" t="n">
        <v>45623.48478009259</v>
      </c>
      <c r="C48" s="1" t="n">
        <v>46140</v>
      </c>
      <c r="D48" t="inlineStr">
        <is>
          <t>VÄSTRA GÖTALANDS LÄN</t>
        </is>
      </c>
      <c r="E48" t="inlineStr">
        <is>
          <t>KUNGÄLV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4262-2024</t>
        </is>
      </c>
      <c r="B49" s="1" t="n">
        <v>45324.50902777778</v>
      </c>
      <c r="C49" s="1" t="n">
        <v>46140</v>
      </c>
      <c r="D49" t="inlineStr">
        <is>
          <t>VÄSTRA GÖTALANDS LÄN</t>
        </is>
      </c>
      <c r="E49" t="inlineStr">
        <is>
          <t>KUNGÄLV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40951-2025</t>
        </is>
      </c>
      <c r="B50" s="1" t="n">
        <v>45897.66342592592</v>
      </c>
      <c r="C50" s="1" t="n">
        <v>46140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661-2025</t>
        </is>
      </c>
      <c r="B51" s="1" t="n">
        <v>45664.68572916667</v>
      </c>
      <c r="C51" s="1" t="n">
        <v>46140</v>
      </c>
      <c r="D51" t="inlineStr">
        <is>
          <t>VÄSTRA GÖTALANDS LÄN</t>
        </is>
      </c>
      <c r="E51" t="inlineStr">
        <is>
          <t>KUNGÄLV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45124-2025</t>
        </is>
      </c>
      <c r="B52" s="1" t="n">
        <v>45919.43206018519</v>
      </c>
      <c r="C52" s="1" t="n">
        <v>46140</v>
      </c>
      <c r="D52" t="inlineStr">
        <is>
          <t>VÄSTRA GÖTALANDS LÄN</t>
        </is>
      </c>
      <c r="E52" t="inlineStr">
        <is>
          <t>KUNGÄLV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33244-2021</t>
        </is>
      </c>
      <c r="B53" s="1" t="n">
        <v>44377</v>
      </c>
      <c r="C53" s="1" t="n">
        <v>46140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46588-2025</t>
        </is>
      </c>
      <c r="B54" s="1" t="n">
        <v>45926.39152777778</v>
      </c>
      <c r="C54" s="1" t="n">
        <v>46140</v>
      </c>
      <c r="D54" t="inlineStr">
        <is>
          <t>VÄSTRA GÖTALANDS LÄN</t>
        </is>
      </c>
      <c r="E54" t="inlineStr">
        <is>
          <t>KUNGÄLV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47569-2025</t>
        </is>
      </c>
      <c r="B55" s="1" t="n">
        <v>45931.39331018519</v>
      </c>
      <c r="C55" s="1" t="n">
        <v>46140</v>
      </c>
      <c r="D55" t="inlineStr">
        <is>
          <t>VÄSTRA GÖTALANDS LÄN</t>
        </is>
      </c>
      <c r="E55" t="inlineStr">
        <is>
          <t>KUNGÄLV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47564-2025</t>
        </is>
      </c>
      <c r="B56" s="1" t="n">
        <v>45931.38982638889</v>
      </c>
      <c r="C56" s="1" t="n">
        <v>46140</v>
      </c>
      <c r="D56" t="inlineStr">
        <is>
          <t>VÄSTRA GÖTALANDS LÄN</t>
        </is>
      </c>
      <c r="E56" t="inlineStr">
        <is>
          <t>KUNGÄLV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24461-2023</t>
        </is>
      </c>
      <c r="B57" s="1" t="n">
        <v>45082</v>
      </c>
      <c r="C57" s="1" t="n">
        <v>46140</v>
      </c>
      <c r="D57" t="inlineStr">
        <is>
          <t>VÄSTRA GÖTALANDS LÄN</t>
        </is>
      </c>
      <c r="E57" t="inlineStr">
        <is>
          <t>KUNGÄLV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143-2023</t>
        </is>
      </c>
      <c r="B58" s="1" t="n">
        <v>44928.53378472223</v>
      </c>
      <c r="C58" s="1" t="n">
        <v>46140</v>
      </c>
      <c r="D58" t="inlineStr">
        <is>
          <t>VÄSTRA GÖTALANDS LÄN</t>
        </is>
      </c>
      <c r="E58" t="inlineStr">
        <is>
          <t>KUNGÄLV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63319-2021</t>
        </is>
      </c>
      <c r="B59" s="1" t="n">
        <v>44508.45226851852</v>
      </c>
      <c r="C59" s="1" t="n">
        <v>46140</v>
      </c>
      <c r="D59" t="inlineStr">
        <is>
          <t>VÄSTRA GÖTALANDS LÄN</t>
        </is>
      </c>
      <c r="E59" t="inlineStr">
        <is>
          <t>KUNGÄLV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7505-2024</t>
        </is>
      </c>
      <c r="B60" s="1" t="n">
        <v>45347.93181712963</v>
      </c>
      <c r="C60" s="1" t="n">
        <v>46140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52932-2025</t>
        </is>
      </c>
      <c r="B61" s="1" t="n">
        <v>45957.62373842593</v>
      </c>
      <c r="C61" s="1" t="n">
        <v>46140</v>
      </c>
      <c r="D61" t="inlineStr">
        <is>
          <t>VÄSTRA GÖTALANDS LÄN</t>
        </is>
      </c>
      <c r="E61" t="inlineStr">
        <is>
          <t>KUNGÄLV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13529-2024</t>
        </is>
      </c>
      <c r="B62" s="1" t="n">
        <v>45387.84504629629</v>
      </c>
      <c r="C62" s="1" t="n">
        <v>46140</v>
      </c>
      <c r="D62" t="inlineStr">
        <is>
          <t>VÄSTRA GÖTALANDS LÄN</t>
        </is>
      </c>
      <c r="E62" t="inlineStr">
        <is>
          <t>KUNGÄLV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56394-2025</t>
        </is>
      </c>
      <c r="B63" s="1" t="n">
        <v>45974.74313657408</v>
      </c>
      <c r="C63" s="1" t="n">
        <v>46140</v>
      </c>
      <c r="D63" t="inlineStr">
        <is>
          <t>VÄSTRA GÖTALANDS LÄN</t>
        </is>
      </c>
      <c r="E63" t="inlineStr">
        <is>
          <t>KUNGÄLV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27463-2024</t>
        </is>
      </c>
      <c r="B64" s="1" t="n">
        <v>45474.45266203704</v>
      </c>
      <c r="C64" s="1" t="n">
        <v>46140</v>
      </c>
      <c r="D64" t="inlineStr">
        <is>
          <t>VÄSTRA GÖTALANDS LÄN</t>
        </is>
      </c>
      <c r="E64" t="inlineStr">
        <is>
          <t>KUNGÄLV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10655-2022</t>
        </is>
      </c>
      <c r="B65" s="1" t="n">
        <v>44624</v>
      </c>
      <c r="C65" s="1" t="n">
        <v>46140</v>
      </c>
      <c r="D65" t="inlineStr">
        <is>
          <t>VÄSTRA GÖTALANDS LÄN</t>
        </is>
      </c>
      <c r="E65" t="inlineStr">
        <is>
          <t>KUNGÄLV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17451-2025</t>
        </is>
      </c>
      <c r="B66" s="1" t="n">
        <v>45757.44825231482</v>
      </c>
      <c r="C66" s="1" t="n">
        <v>46140</v>
      </c>
      <c r="D66" t="inlineStr">
        <is>
          <t>VÄSTRA GÖTALANDS LÄN</t>
        </is>
      </c>
      <c r="E66" t="inlineStr">
        <is>
          <t>KUNGÄLV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17455-2025</t>
        </is>
      </c>
      <c r="B67" s="1" t="n">
        <v>45757.45109953704</v>
      </c>
      <c r="C67" s="1" t="n">
        <v>46140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58408-2025</t>
        </is>
      </c>
      <c r="B68" s="1" t="n">
        <v>45985.56969907408</v>
      </c>
      <c r="C68" s="1" t="n">
        <v>46140</v>
      </c>
      <c r="D68" t="inlineStr">
        <is>
          <t>VÄSTRA GÖTALANDS LÄN</t>
        </is>
      </c>
      <c r="E68" t="inlineStr">
        <is>
          <t>KUNGÄLV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19531-2023</t>
        </is>
      </c>
      <c r="B69" s="1" t="n">
        <v>45050.54896990741</v>
      </c>
      <c r="C69" s="1" t="n">
        <v>46140</v>
      </c>
      <c r="D69" t="inlineStr">
        <is>
          <t>VÄSTRA GÖTALANDS LÄN</t>
        </is>
      </c>
      <c r="E69" t="inlineStr">
        <is>
          <t>KUNGÄLV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4263-2024</t>
        </is>
      </c>
      <c r="B70" s="1" t="n">
        <v>45324.51049768519</v>
      </c>
      <c r="C70" s="1" t="n">
        <v>46140</v>
      </c>
      <c r="D70" t="inlineStr">
        <is>
          <t>VÄSTRA GÖTALANDS LÄN</t>
        </is>
      </c>
      <c r="E70" t="inlineStr">
        <is>
          <t>KUNGÄLV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5705-2025</t>
        </is>
      </c>
      <c r="B71" s="1" t="n">
        <v>45694</v>
      </c>
      <c r="C71" s="1" t="n">
        <v>46140</v>
      </c>
      <c r="D71" t="inlineStr">
        <is>
          <t>VÄSTRA GÖTALANDS LÄN</t>
        </is>
      </c>
      <c r="E71" t="inlineStr">
        <is>
          <t>KUNGÄLV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62979-2023</t>
        </is>
      </c>
      <c r="B72" s="1" t="n">
        <v>45271</v>
      </c>
      <c r="C72" s="1" t="n">
        <v>46140</v>
      </c>
      <c r="D72" t="inlineStr">
        <is>
          <t>VÄSTRA GÖTALANDS LÄN</t>
        </is>
      </c>
      <c r="E72" t="inlineStr">
        <is>
          <t>KUNGÄLV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16538-2025</t>
        </is>
      </c>
      <c r="B73" s="1" t="n">
        <v>45751.66126157407</v>
      </c>
      <c r="C73" s="1" t="n">
        <v>46140</v>
      </c>
      <c r="D73" t="inlineStr">
        <is>
          <t>VÄSTRA GÖTALANDS LÄN</t>
        </is>
      </c>
      <c r="E73" t="inlineStr">
        <is>
          <t>KUNGÄLV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29801-2022</t>
        </is>
      </c>
      <c r="B74" s="1" t="n">
        <v>44755.70518518519</v>
      </c>
      <c r="C74" s="1" t="n">
        <v>46140</v>
      </c>
      <c r="D74" t="inlineStr">
        <is>
          <t>VÄSTRA GÖTALANDS LÄN</t>
        </is>
      </c>
      <c r="E74" t="inlineStr">
        <is>
          <t>KUNGÄLV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49981-2023</t>
        </is>
      </c>
      <c r="B75" s="1" t="n">
        <v>45215</v>
      </c>
      <c r="C75" s="1" t="n">
        <v>46140</v>
      </c>
      <c r="D75" t="inlineStr">
        <is>
          <t>VÄSTRA GÖTALANDS LÄN</t>
        </is>
      </c>
      <c r="E75" t="inlineStr">
        <is>
          <t>KUNGÄLV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34366-2022</t>
        </is>
      </c>
      <c r="B76" s="1" t="n">
        <v>44792</v>
      </c>
      <c r="C76" s="1" t="n">
        <v>46140</v>
      </c>
      <c r="D76" t="inlineStr">
        <is>
          <t>VÄSTRA GÖTALANDS LÄN</t>
        </is>
      </c>
      <c r="E76" t="inlineStr">
        <is>
          <t>KUNGÄLV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4673-2026</t>
        </is>
      </c>
      <c r="B77" s="1" t="n">
        <v>46048.42462962963</v>
      </c>
      <c r="C77" s="1" t="n">
        <v>46140</v>
      </c>
      <c r="D77" t="inlineStr">
        <is>
          <t>VÄSTRA GÖTALANDS LÄN</t>
        </is>
      </c>
      <c r="E77" t="inlineStr">
        <is>
          <t>KUNGÄLV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71835-2021</t>
        </is>
      </c>
      <c r="B78" s="1" t="n">
        <v>44543.62230324074</v>
      </c>
      <c r="C78" s="1" t="n">
        <v>46140</v>
      </c>
      <c r="D78" t="inlineStr">
        <is>
          <t>VÄSTRA GÖTALANDS LÄN</t>
        </is>
      </c>
      <c r="E78" t="inlineStr">
        <is>
          <t>KUNGÄLV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5655-2026</t>
        </is>
      </c>
      <c r="B79" s="1" t="n">
        <v>46051.44604166667</v>
      </c>
      <c r="C79" s="1" t="n">
        <v>46140</v>
      </c>
      <c r="D79" t="inlineStr">
        <is>
          <t>VÄSTRA GÖTALANDS LÄN</t>
        </is>
      </c>
      <c r="E79" t="inlineStr">
        <is>
          <t>KUNGÄLV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6954-2026</t>
        </is>
      </c>
      <c r="B80" s="1" t="n">
        <v>46056</v>
      </c>
      <c r="C80" s="1" t="n">
        <v>46140</v>
      </c>
      <c r="D80" t="inlineStr">
        <is>
          <t>VÄSTRA GÖTALANDS LÄN</t>
        </is>
      </c>
      <c r="E80" t="inlineStr">
        <is>
          <t>KUNGÄLV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21883-2021</t>
        </is>
      </c>
      <c r="B81" s="1" t="n">
        <v>44322</v>
      </c>
      <c r="C81" s="1" t="n">
        <v>46140</v>
      </c>
      <c r="D81" t="inlineStr">
        <is>
          <t>VÄSTRA GÖTALANDS LÄN</t>
        </is>
      </c>
      <c r="E81" t="inlineStr">
        <is>
          <t>KUNGÄLV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13990-2026</t>
        </is>
      </c>
      <c r="B82" s="1" t="n">
        <v>46098.61854166666</v>
      </c>
      <c r="C82" s="1" t="n">
        <v>46140</v>
      </c>
      <c r="D82" t="inlineStr">
        <is>
          <t>VÄSTRA GÖTALANDS LÄN</t>
        </is>
      </c>
      <c r="E82" t="inlineStr">
        <is>
          <t>KUNGÄLV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6954-2026</t>
        </is>
      </c>
      <c r="B83" s="1" t="n">
        <v>46056</v>
      </c>
      <c r="C83" s="1" t="n">
        <v>46140</v>
      </c>
      <c r="D83" t="inlineStr">
        <is>
          <t>VÄSTRA GÖTALANDS LÄN</t>
        </is>
      </c>
      <c r="E83" t="inlineStr">
        <is>
          <t>KUNGÄLV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6946-2026</t>
        </is>
      </c>
      <c r="B84" s="1" t="n">
        <v>46057</v>
      </c>
      <c r="C84" s="1" t="n">
        <v>46140</v>
      </c>
      <c r="D84" t="inlineStr">
        <is>
          <t>VÄSTRA GÖTALANDS LÄN</t>
        </is>
      </c>
      <c r="E84" t="inlineStr">
        <is>
          <t>KUNGÄLV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56782-2022</t>
        </is>
      </c>
      <c r="B85" s="1" t="n">
        <v>44894.39475694444</v>
      </c>
      <c r="C85" s="1" t="n">
        <v>46140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26812-2024</t>
        </is>
      </c>
      <c r="B86" s="1" t="n">
        <v>45470.54344907407</v>
      </c>
      <c r="C86" s="1" t="n">
        <v>46140</v>
      </c>
      <c r="D86" t="inlineStr">
        <is>
          <t>VÄSTRA GÖTALANDS LÄN</t>
        </is>
      </c>
      <c r="E86" t="inlineStr">
        <is>
          <t>KUNGÄLV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43207-2025</t>
        </is>
      </c>
      <c r="B87" s="1" t="n">
        <v>45910.45111111111</v>
      </c>
      <c r="C87" s="1" t="n">
        <v>46140</v>
      </c>
      <c r="D87" t="inlineStr">
        <is>
          <t>VÄSTRA GÖTALANDS LÄN</t>
        </is>
      </c>
      <c r="E87" t="inlineStr">
        <is>
          <t>KUNGÄLV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37443-2025</t>
        </is>
      </c>
      <c r="B88" s="1" t="n">
        <v>45877.54152777778</v>
      </c>
      <c r="C88" s="1" t="n">
        <v>46140</v>
      </c>
      <c r="D88" t="inlineStr">
        <is>
          <t>VÄSTRA GÖTALANDS LÄN</t>
        </is>
      </c>
      <c r="E88" t="inlineStr">
        <is>
          <t>KUNGÄLV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10810-2023</t>
        </is>
      </c>
      <c r="B89" s="1" t="n">
        <v>44989.75795138889</v>
      </c>
      <c r="C89" s="1" t="n">
        <v>46140</v>
      </c>
      <c r="D89" t="inlineStr">
        <is>
          <t>VÄSTRA GÖTALANDS LÄN</t>
        </is>
      </c>
      <c r="E89" t="inlineStr">
        <is>
          <t>KUNGÄLV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62128-2021</t>
        </is>
      </c>
      <c r="B90" s="1" t="n">
        <v>44502</v>
      </c>
      <c r="C90" s="1" t="n">
        <v>46140</v>
      </c>
      <c r="D90" t="inlineStr">
        <is>
          <t>VÄSTRA GÖTALANDS LÄN</t>
        </is>
      </c>
      <c r="E90" t="inlineStr">
        <is>
          <t>KUNGÄLV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12731-2026</t>
        </is>
      </c>
      <c r="B91" s="1" t="n">
        <v>46091.63040509259</v>
      </c>
      <c r="C91" s="1" t="n">
        <v>46140</v>
      </c>
      <c r="D91" t="inlineStr">
        <is>
          <t>VÄSTRA GÖTALANDS LÄN</t>
        </is>
      </c>
      <c r="E91" t="inlineStr">
        <is>
          <t>KUNGÄLV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49985-2023</t>
        </is>
      </c>
      <c r="B92" s="1" t="n">
        <v>45215</v>
      </c>
      <c r="C92" s="1" t="n">
        <v>46140</v>
      </c>
      <c r="D92" t="inlineStr">
        <is>
          <t>VÄSTRA GÖTALANDS LÄN</t>
        </is>
      </c>
      <c r="E92" t="inlineStr">
        <is>
          <t>KUNGÄLV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21240-2023</t>
        </is>
      </c>
      <c r="B93" s="1" t="n">
        <v>45058</v>
      </c>
      <c r="C93" s="1" t="n">
        <v>46140</v>
      </c>
      <c r="D93" t="inlineStr">
        <is>
          <t>VÄSTRA GÖTALANDS LÄN</t>
        </is>
      </c>
      <c r="E93" t="inlineStr">
        <is>
          <t>KUNGÄLV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18851-2024</t>
        </is>
      </c>
      <c r="B94" s="1" t="n">
        <v>45426.69</v>
      </c>
      <c r="C94" s="1" t="n">
        <v>46140</v>
      </c>
      <c r="D94" t="inlineStr">
        <is>
          <t>VÄSTRA GÖTALANDS LÄN</t>
        </is>
      </c>
      <c r="E94" t="inlineStr">
        <is>
          <t>KUNGÄLV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21389-2023</t>
        </is>
      </c>
      <c r="B95" s="1" t="n">
        <v>45063</v>
      </c>
      <c r="C95" s="1" t="n">
        <v>46140</v>
      </c>
      <c r="D95" t="inlineStr">
        <is>
          <t>VÄSTRA GÖTALANDS LÄN</t>
        </is>
      </c>
      <c r="E95" t="inlineStr">
        <is>
          <t>KUNGÄLV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44176-2023</t>
        </is>
      </c>
      <c r="B96" s="1" t="n">
        <v>45188</v>
      </c>
      <c r="C96" s="1" t="n">
        <v>46140</v>
      </c>
      <c r="D96" t="inlineStr">
        <is>
          <t>VÄSTRA GÖTALANDS LÄN</t>
        </is>
      </c>
      <c r="E96" t="inlineStr">
        <is>
          <t>KUNGÄLV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23457-2024</t>
        </is>
      </c>
      <c r="B97" s="1" t="n">
        <v>45453.65128472223</v>
      </c>
      <c r="C97" s="1" t="n">
        <v>46140</v>
      </c>
      <c r="D97" t="inlineStr">
        <is>
          <t>VÄSTRA GÖTALANDS LÄN</t>
        </is>
      </c>
      <c r="E97" t="inlineStr">
        <is>
          <t>KUNGÄLV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39714-2024</t>
        </is>
      </c>
      <c r="B98" s="1" t="n">
        <v>45552.60074074074</v>
      </c>
      <c r="C98" s="1" t="n">
        <v>46140</v>
      </c>
      <c r="D98" t="inlineStr">
        <is>
          <t>VÄSTRA GÖTALANDS LÄN</t>
        </is>
      </c>
      <c r="E98" t="inlineStr">
        <is>
          <t>KUNGÄLV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18852-2024</t>
        </is>
      </c>
      <c r="B99" s="1" t="n">
        <v>45426.69550925926</v>
      </c>
      <c r="C99" s="1" t="n">
        <v>46140</v>
      </c>
      <c r="D99" t="inlineStr">
        <is>
          <t>VÄSTRA GÖTALANDS LÄN</t>
        </is>
      </c>
      <c r="E99" t="inlineStr">
        <is>
          <t>KUNGÄLV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51724-2023</t>
        </is>
      </c>
      <c r="B100" s="1" t="n">
        <v>45222</v>
      </c>
      <c r="C100" s="1" t="n">
        <v>46140</v>
      </c>
      <c r="D100" t="inlineStr">
        <is>
          <t>VÄSTRA GÖTALANDS LÄN</t>
        </is>
      </c>
      <c r="E100" t="inlineStr">
        <is>
          <t>KUNGÄLV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5631-2024</t>
        </is>
      </c>
      <c r="B101" s="1" t="n">
        <v>45334.61013888889</v>
      </c>
      <c r="C101" s="1" t="n">
        <v>46140</v>
      </c>
      <c r="D101" t="inlineStr">
        <is>
          <t>VÄSTRA GÖTALANDS LÄN</t>
        </is>
      </c>
      <c r="E101" t="inlineStr">
        <is>
          <t>KUNGÄLV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21579-2025</t>
        </is>
      </c>
      <c r="B102" s="1" t="n">
        <v>45782.91234953704</v>
      </c>
      <c r="C102" s="1" t="n">
        <v>46140</v>
      </c>
      <c r="D102" t="inlineStr">
        <is>
          <t>VÄSTRA GÖTALANDS LÄN</t>
        </is>
      </c>
      <c r="E102" t="inlineStr">
        <is>
          <t>KUNGÄLV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10679-2025</t>
        </is>
      </c>
      <c r="B103" s="1" t="n">
        <v>45721.89462962963</v>
      </c>
      <c r="C103" s="1" t="n">
        <v>46140</v>
      </c>
      <c r="D103" t="inlineStr">
        <is>
          <t>VÄSTRA GÖTALANDS LÄN</t>
        </is>
      </c>
      <c r="E103" t="inlineStr">
        <is>
          <t>KUNGÄLV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8943-2025</t>
        </is>
      </c>
      <c r="B104" s="1" t="n">
        <v>45713.45105324074</v>
      </c>
      <c r="C104" s="1" t="n">
        <v>46140</v>
      </c>
      <c r="D104" t="inlineStr">
        <is>
          <t>VÄSTRA GÖTALANDS LÄN</t>
        </is>
      </c>
      <c r="E104" t="inlineStr">
        <is>
          <t>KUNGÄLV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11237-2025</t>
        </is>
      </c>
      <c r="B105" s="1" t="n">
        <v>45726.36668981481</v>
      </c>
      <c r="C105" s="1" t="n">
        <v>46140</v>
      </c>
      <c r="D105" t="inlineStr">
        <is>
          <t>VÄSTRA GÖTALANDS LÄN</t>
        </is>
      </c>
      <c r="E105" t="inlineStr">
        <is>
          <t>KUNGÄLV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15078-2025</t>
        </is>
      </c>
      <c r="B106" s="1" t="n">
        <v>45743.84284722222</v>
      </c>
      <c r="C106" s="1" t="n">
        <v>46140</v>
      </c>
      <c r="D106" t="inlineStr">
        <is>
          <t>VÄSTRA GÖTALANDS LÄN</t>
        </is>
      </c>
      <c r="E106" t="inlineStr">
        <is>
          <t>KUNGÄLV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10677-2025</t>
        </is>
      </c>
      <c r="B107" s="1" t="n">
        <v>45721.89055555555</v>
      </c>
      <c r="C107" s="1" t="n">
        <v>46140</v>
      </c>
      <c r="D107" t="inlineStr">
        <is>
          <t>VÄSTRA GÖTALANDS LÄN</t>
        </is>
      </c>
      <c r="E107" t="inlineStr">
        <is>
          <t>KUNGÄLV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74285-2021</t>
        </is>
      </c>
      <c r="B108" s="1" t="n">
        <v>44558</v>
      </c>
      <c r="C108" s="1" t="n">
        <v>46140</v>
      </c>
      <c r="D108" t="inlineStr">
        <is>
          <t>VÄSTRA GÖTALANDS LÄN</t>
        </is>
      </c>
      <c r="E108" t="inlineStr">
        <is>
          <t>KUNGÄLV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61417-2022</t>
        </is>
      </c>
      <c r="B109" s="1" t="n">
        <v>44916.35082175926</v>
      </c>
      <c r="C109" s="1" t="n">
        <v>46140</v>
      </c>
      <c r="D109" t="inlineStr">
        <is>
          <t>VÄSTRA GÖTALANDS LÄN</t>
        </is>
      </c>
      <c r="E109" t="inlineStr">
        <is>
          <t>KUNGÄLV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32272-2023</t>
        </is>
      </c>
      <c r="B110" s="1" t="n">
        <v>45120.35368055556</v>
      </c>
      <c r="C110" s="1" t="n">
        <v>46140</v>
      </c>
      <c r="D110" t="inlineStr">
        <is>
          <t>VÄSTRA GÖTALANDS LÄN</t>
        </is>
      </c>
      <c r="E110" t="inlineStr">
        <is>
          <t>KUNGÄLV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32847-2023</t>
        </is>
      </c>
      <c r="B111" s="1" t="n">
        <v>45124.61965277778</v>
      </c>
      <c r="C111" s="1" t="n">
        <v>46140</v>
      </c>
      <c r="D111" t="inlineStr">
        <is>
          <t>VÄSTRA GÖTALANDS LÄN</t>
        </is>
      </c>
      <c r="E111" t="inlineStr">
        <is>
          <t>KUNGÄLV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25135-2025</t>
        </is>
      </c>
      <c r="B112" s="1" t="n">
        <v>45798</v>
      </c>
      <c r="C112" s="1" t="n">
        <v>46140</v>
      </c>
      <c r="D112" t="inlineStr">
        <is>
          <t>VÄSTRA GÖTALANDS LÄN</t>
        </is>
      </c>
      <c r="E112" t="inlineStr">
        <is>
          <t>KUNGÄLV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32392-2025</t>
        </is>
      </c>
      <c r="B113" s="1" t="n">
        <v>45837.9102199074</v>
      </c>
      <c r="C113" s="1" t="n">
        <v>46140</v>
      </c>
      <c r="D113" t="inlineStr">
        <is>
          <t>VÄSTRA GÖTALANDS LÄN</t>
        </is>
      </c>
      <c r="E113" t="inlineStr">
        <is>
          <t>KUNGÄLV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32391-2025</t>
        </is>
      </c>
      <c r="B114" s="1" t="n">
        <v>45837.90662037037</v>
      </c>
      <c r="C114" s="1" t="n">
        <v>46140</v>
      </c>
      <c r="D114" t="inlineStr">
        <is>
          <t>VÄSTRA GÖTALANDS LÄN</t>
        </is>
      </c>
      <c r="E114" t="inlineStr">
        <is>
          <t>KUNGÄLV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33493-2021</t>
        </is>
      </c>
      <c r="B115" s="1" t="n">
        <v>44377</v>
      </c>
      <c r="C115" s="1" t="n">
        <v>46140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34250-2025</t>
        </is>
      </c>
      <c r="B116" s="1" t="n">
        <v>45844</v>
      </c>
      <c r="C116" s="1" t="n">
        <v>46140</v>
      </c>
      <c r="D116" t="inlineStr">
        <is>
          <t>VÄSTRA GÖTALANDS LÄN</t>
        </is>
      </c>
      <c r="E116" t="inlineStr">
        <is>
          <t>KUNGÄLV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34244-2025</t>
        </is>
      </c>
      <c r="B117" s="1" t="n">
        <v>45844</v>
      </c>
      <c r="C117" s="1" t="n">
        <v>46140</v>
      </c>
      <c r="D117" t="inlineStr">
        <is>
          <t>VÄSTRA GÖTALANDS LÄN</t>
        </is>
      </c>
      <c r="E117" t="inlineStr">
        <is>
          <t>KUNGÄLV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25624-2025</t>
        </is>
      </c>
      <c r="B118" s="1" t="n">
        <v>45803.57885416667</v>
      </c>
      <c r="C118" s="1" t="n">
        <v>46140</v>
      </c>
      <c r="D118" t="inlineStr">
        <is>
          <t>VÄSTRA GÖTALANDS LÄN</t>
        </is>
      </c>
      <c r="E118" t="inlineStr">
        <is>
          <t>KUNGÄLV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36055-2025</t>
        </is>
      </c>
      <c r="B119" s="1" t="n">
        <v>45866</v>
      </c>
      <c r="C119" s="1" t="n">
        <v>46140</v>
      </c>
      <c r="D119" t="inlineStr">
        <is>
          <t>VÄSTRA GÖTALANDS LÄN</t>
        </is>
      </c>
      <c r="E119" t="inlineStr">
        <is>
          <t>KUNGÄLV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6096-2025</t>
        </is>
      </c>
      <c r="B120" s="1" t="n">
        <v>45697</v>
      </c>
      <c r="C120" s="1" t="n">
        <v>46140</v>
      </c>
      <c r="D120" t="inlineStr">
        <is>
          <t>VÄSTRA GÖTALANDS LÄN</t>
        </is>
      </c>
      <c r="E120" t="inlineStr">
        <is>
          <t>KUNGÄLV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41442-2025</t>
        </is>
      </c>
      <c r="B121" s="1" t="n">
        <v>45869</v>
      </c>
      <c r="C121" s="1" t="n">
        <v>46140</v>
      </c>
      <c r="D121" t="inlineStr">
        <is>
          <t>VÄSTRA GÖTALANDS LÄN</t>
        </is>
      </c>
      <c r="E121" t="inlineStr">
        <is>
          <t>KUNGÄLV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2026-04-28T10:51:09Z</dcterms:created>
  <dcterms:modified xmlns:dcterms="http://purl.org/dc/terms/" xmlns:xsi="http://www.w3.org/2001/XMLSchema-instance" xsi:type="dcterms:W3CDTF">2026-04-28T10:51:09Z</dcterms:modified>
</cp:coreProperties>
</file>