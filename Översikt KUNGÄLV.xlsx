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46318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46318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46318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46318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46318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46318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46318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46318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53007-2025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46318</v>
      </c>
      <c r="F18" t="inlineStr">
        <is>
          <t>VÄSTRA GÖTALANDS LÄN</t>
        </is>
      </c>
      <c r="G18" t="inlineStr">
        <is>
          <t>KUNGÄLV</t>
        </is>
      </c>
      <c r="I18" t="n">
        <v>2.9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Västlig hakmossa
Spillkråka</t>
        </is>
      </c>
      <c r="W18">
        <f>HYPERLINK("https://klasma.github.io/Logging_1482/artfynd/A 53007-2025 artfynd.xlsx", "A 53007-2025")</f>
        <v/>
      </c>
      <c r="X18">
        <f>HYPERLINK("https://klasma.github.io/Logging_1482/kartor/A 53007-2025 karta.png", "A 53007-2025")</f>
        <v/>
      </c>
      <c r="Y18">
        <f>HYPERLINK("https://klasma.github.io/Logging_1482/kartor_geotiff/A 53007-2025 georefererad karta.tif", "A 53007-2025")</f>
        <v/>
      </c>
      <c r="AA18">
        <f>HYPERLINK("https://klasma.github.io/Logging_1482/klagomål/A 53007-2025 FSC-klagomål.docx", "A 53007-2025")</f>
        <v/>
      </c>
      <c r="AB18">
        <f>HYPERLINK("https://klasma.github.io/Logging_1482/klagomålsmail/A 53007-2025 FSC-klagomål mail.docx", "A 53007-2025")</f>
        <v/>
      </c>
      <c r="AC18">
        <f>HYPERLINK("https://klasma.github.io/Logging_1482/tillsyn/A 53007-2025 tillsynsbegäran.docx", "A 53007-2025")</f>
        <v/>
      </c>
      <c r="AD18">
        <f>HYPERLINK("https://klasma.github.io/Logging_1482/tillsynsmail/A 53007-2025 tillsynsbegäran mail.docx", "A 53007-2025")</f>
        <v/>
      </c>
      <c r="AE18">
        <f>HYPERLINK("https://klasma.github.io/Logging_1482/fåglar/A 53007-2025 prioriterade fågelarter.docx", "A 53007-2025")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46318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46318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46318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46318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46318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46318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42407-2026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46318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Dunmossa</t>
        </is>
      </c>
      <c r="W25">
        <f>HYPERLINK("https://klasma.github.io/Logging_1482/artfynd/A 42407-2026 artfynd.xlsx", "A 42407-2026")</f>
        <v/>
      </c>
      <c r="X25">
        <f>HYPERLINK("https://klasma.github.io/Logging_1482/kartor/A 42407-2026 karta.png", "A 42407-2026")</f>
        <v/>
      </c>
      <c r="Y25">
        <f>HYPERLINK("https://klasma.github.io/Logging_1482/kartor_geotiff/A 42407-2026 georefererad karta.tif", "A 42407-2026")</f>
        <v/>
      </c>
      <c r="AA25">
        <f>HYPERLINK("https://klasma.github.io/Logging_1482/klagomål/A 42407-2026 FSC-klagomål.docx", "A 42407-2026")</f>
        <v/>
      </c>
      <c r="AB25">
        <f>HYPERLINK("https://klasma.github.io/Logging_1482/klagomålsmail/A 42407-2026 FSC-klagomål mail.docx", "A 42407-2026")</f>
        <v/>
      </c>
      <c r="AC25">
        <f>HYPERLINK("https://klasma.github.io/Logging_1482/tillsyn/A 42407-2026 tillsynsbegäran.docx", "A 42407-2026")</f>
        <v/>
      </c>
      <c r="AD25">
        <f>HYPERLINK("https://klasma.github.io/Logging_1482/tillsynsmail/A 42407-2026 tillsynsbegäran mail.docx", "A 42407-2026")</f>
        <v/>
      </c>
    </row>
    <row r="26" ht="15" customHeight="1">
      <c r="A26" t="inlineStr">
        <is>
          <t>A 23704-2024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46318</v>
      </c>
      <c r="F26" t="inlineStr">
        <is>
          <t>VÄSTRA GÖTALANDS LÄN</t>
        </is>
      </c>
      <c r="G26" t="inlineStr">
        <is>
          <t>KUNGÄLV</t>
        </is>
      </c>
      <c r="I26" t="n">
        <v>4.9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Hedjohannesört</t>
        </is>
      </c>
      <c r="W26">
        <f>HYPERLINK("https://klasma.github.io/Logging_1482/artfynd/A 23704-2024 artfynd.xlsx", "A 23704-2024")</f>
        <v/>
      </c>
      <c r="X26">
        <f>HYPERLINK("https://klasma.github.io/Logging_1482/kartor/A 23704-2024 karta.png", "A 23704-2024")</f>
        <v/>
      </c>
      <c r="Y26">
        <f>HYPERLINK("https://klasma.github.io/Logging_1482/kartor_geotiff/A 23704-2024 georefererad karta.tif", "A 23704-2024")</f>
        <v/>
      </c>
      <c r="AA26">
        <f>HYPERLINK("https://klasma.github.io/Logging_1482/klagomål/A 23704-2024 FSC-klagomål.docx", "A 23704-2024")</f>
        <v/>
      </c>
      <c r="AB26">
        <f>HYPERLINK("https://klasma.github.io/Logging_1482/klagomålsmail/A 23704-2024 FSC-klagomål mail.docx", "A 23704-2024")</f>
        <v/>
      </c>
      <c r="AC26">
        <f>HYPERLINK("https://klasma.github.io/Logging_1482/tillsyn/A 23704-2024 tillsynsbegäran.docx", "A 23704-2024")</f>
        <v/>
      </c>
      <c r="AD26">
        <f>HYPERLINK("https://klasma.github.io/Logging_1482/tillsynsmail/A 23704-2024 tillsynsbegäran mail.docx", "A 23704-2024")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46318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46318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46318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46318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46318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46318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46318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46318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61417-2022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46318</v>
      </c>
      <c r="F35" t="inlineStr">
        <is>
          <t>VÄSTRA GÖTALANDS LÄN</t>
        </is>
      </c>
      <c r="G35" t="inlineStr">
        <is>
          <t>KUNGÄLV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45751</v>
      </c>
      <c r="E36" s="1" t="n">
        <v>46318</v>
      </c>
      <c r="F36" t="inlineStr">
        <is>
          <t>VÄSTRA GÖTALANDS LÄN</t>
        </is>
      </c>
      <c r="G36" t="inlineStr">
        <is>
          <t>KUNGÄLV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46318</v>
      </c>
      <c r="F37" t="inlineStr">
        <is>
          <t>VÄSTRA GÖTALANDS LÄN</t>
        </is>
      </c>
      <c r="G37" t="inlineStr">
        <is>
          <t>KUNGÄLV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45124</v>
      </c>
      <c r="E38" s="1" t="n">
        <v>46318</v>
      </c>
      <c r="F38" t="inlineStr">
        <is>
          <t>VÄSTRA GÖTALANDS LÄN</t>
        </is>
      </c>
      <c r="G38" t="inlineStr">
        <is>
          <t>KUNGÄLV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46318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46318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45482</v>
      </c>
      <c r="E41" s="1" t="n">
        <v>46318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45426</v>
      </c>
      <c r="E42" s="1" t="n">
        <v>46318</v>
      </c>
      <c r="F42" t="inlineStr">
        <is>
          <t>VÄSTRA GÖTALANDS LÄN</t>
        </is>
      </c>
      <c r="G42" t="inlineStr">
        <is>
          <t>KUNGÄLV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44624</v>
      </c>
      <c r="E43" s="1" t="n">
        <v>46318</v>
      </c>
      <c r="F43" t="inlineStr">
        <is>
          <t>VÄSTRA GÖTALANDS LÄN</t>
        </is>
      </c>
      <c r="G43" t="inlineStr">
        <is>
          <t>KUNGÄLV</t>
        </is>
      </c>
      <c r="I43" t="n">
        <v>13.3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46318</v>
      </c>
      <c r="F44" t="inlineStr">
        <is>
          <t>VÄSTRA GÖTALANDS LÄN</t>
        </is>
      </c>
      <c r="G44" t="inlineStr">
        <is>
          <t>KUNGÄLV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46318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39714-2024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45552</v>
      </c>
      <c r="E46" s="1" t="n">
        <v>46318</v>
      </c>
      <c r="F46" t="inlineStr">
        <is>
          <t>VÄSTRA GÖTALANDS LÄN</t>
        </is>
      </c>
      <c r="G46" t="inlineStr">
        <is>
          <t>KUNGÄLV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25624-2025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45803</v>
      </c>
      <c r="E47" s="1" t="n">
        <v>46318</v>
      </c>
      <c r="F47" t="inlineStr">
        <is>
          <t>VÄSTRA GÖTALANDS LÄN</t>
        </is>
      </c>
      <c r="G47" t="inlineStr">
        <is>
          <t>KUNGÄLV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45869</v>
      </c>
      <c r="E48" s="1" t="n">
        <v>46318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46318</v>
      </c>
      <c r="F49" t="inlineStr">
        <is>
          <t>VÄSTRA GÖTALANDS LÄN</t>
        </is>
      </c>
      <c r="G49" t="inlineStr">
        <is>
          <t>KUNGÄLV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46318</v>
      </c>
      <c r="F50" t="inlineStr">
        <is>
          <t>VÄSTRA GÖTALANDS LÄN</t>
        </is>
      </c>
      <c r="G50" t="inlineStr">
        <is>
          <t>KUNGÄLV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46318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46318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45664</v>
      </c>
      <c r="E53" s="1" t="n">
        <v>46318</v>
      </c>
      <c r="F53" t="inlineStr">
        <is>
          <t>VÄSTRA GÖTALANDS LÄN</t>
        </is>
      </c>
      <c r="G53" t="inlineStr">
        <is>
          <t>KUNGÄLV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46318</v>
      </c>
      <c r="F54" t="inlineStr">
        <is>
          <t>VÄSTRA GÖTALANDS LÄN</t>
        </is>
      </c>
      <c r="G54" t="inlineStr">
        <is>
          <t>KUNGÄLV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46318</v>
      </c>
      <c r="F55" t="inlineStr">
        <is>
          <t>VÄSTRA GÖTALANDS LÄN</t>
        </is>
      </c>
      <c r="G55" t="inlineStr">
        <is>
          <t>KUNGÄLV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45391</v>
      </c>
      <c r="E56" s="1" t="n">
        <v>46318</v>
      </c>
      <c r="F56" t="inlineStr">
        <is>
          <t>VÄSTRA GÖTALANDS LÄN</t>
        </is>
      </c>
      <c r="G56" t="inlineStr">
        <is>
          <t>KUNGÄLV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46318</v>
      </c>
      <c r="F57" t="inlineStr">
        <is>
          <t>VÄSTRA GÖTALANDS LÄN</t>
        </is>
      </c>
      <c r="G57" t="inlineStr">
        <is>
          <t>KUNGÄLV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46318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23457-2024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45453</v>
      </c>
      <c r="E59" s="1" t="n">
        <v>46318</v>
      </c>
      <c r="F59" t="inlineStr">
        <is>
          <t>VÄSTRA GÖTALANDS LÄN</t>
        </is>
      </c>
      <c r="G59" t="inlineStr">
        <is>
          <t>KUNGÄLV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21389-2023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45063</v>
      </c>
      <c r="E60" s="1" t="n">
        <v>46318</v>
      </c>
      <c r="F60" t="inlineStr">
        <is>
          <t>VÄSTRA GÖTALANDS LÄN</t>
        </is>
      </c>
      <c r="G60" t="inlineStr">
        <is>
          <t>KUNGÄLV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45324</v>
      </c>
      <c r="E61" s="1" t="n">
        <v>46318</v>
      </c>
      <c r="F61" t="inlineStr">
        <is>
          <t>VÄSTRA GÖTALANDS LÄN</t>
        </is>
      </c>
      <c r="G61" t="inlineStr">
        <is>
          <t>KUNGÄLV</t>
        </is>
      </c>
      <c r="I61" t="n">
        <v>14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46318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32391-2025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45837</v>
      </c>
      <c r="E63" s="1" t="n">
        <v>46318</v>
      </c>
      <c r="F63" t="inlineStr">
        <is>
          <t>VÄSTRA GÖTALANDS LÄN</t>
        </is>
      </c>
      <c r="G63" t="inlineStr">
        <is>
          <t>KUNGÄLV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46163</v>
      </c>
      <c r="E64" s="1" t="n">
        <v>46318</v>
      </c>
      <c r="F64" t="inlineStr">
        <is>
          <t>VÄSTRA GÖTALANDS LÄN</t>
        </is>
      </c>
      <c r="G64" t="inlineStr">
        <is>
          <t>KUNGÄLV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46318</v>
      </c>
      <c r="F65" t="inlineStr">
        <is>
          <t>VÄSTRA GÖTALANDS LÄN</t>
        </is>
      </c>
      <c r="G65" t="inlineStr">
        <is>
          <t>KUNGÄLV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63319-2021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46318</v>
      </c>
      <c r="F66" t="inlineStr">
        <is>
          <t>VÄSTRA GÖTALANDS LÄN</t>
        </is>
      </c>
      <c r="G66" t="inlineStr">
        <is>
          <t>KUNGÄLV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46318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46318</v>
      </c>
      <c r="F68" t="inlineStr">
        <is>
          <t>VÄSTRA GÖTALANDS LÄN</t>
        </is>
      </c>
      <c r="G68" t="inlineStr">
        <is>
          <t>KUNGÄLV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6946-2026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46057</v>
      </c>
      <c r="E69" s="1" t="n">
        <v>46318</v>
      </c>
      <c r="F69" t="inlineStr">
        <is>
          <t>VÄSTRA GÖTALANDS LÄN</t>
        </is>
      </c>
      <c r="G69" t="inlineStr">
        <is>
          <t>KUNGÄLV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46318</v>
      </c>
      <c r="F70" t="inlineStr">
        <is>
          <t>VÄSTRA GÖTALANDS LÄN</t>
        </is>
      </c>
      <c r="G70" t="inlineStr">
        <is>
          <t>KUNGÄLV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46318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45347</v>
      </c>
      <c r="E72" s="1" t="n">
        <v>46318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46318</v>
      </c>
      <c r="F73" t="inlineStr">
        <is>
          <t>VÄSTRA GÖTALANDS LÄN</t>
        </is>
      </c>
      <c r="G73" t="inlineStr">
        <is>
          <t>KUNGÄLV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46318</v>
      </c>
      <c r="F74" t="inlineStr">
        <is>
          <t>VÄSTRA GÖTALANDS LÄN</t>
        </is>
      </c>
      <c r="G74" t="inlineStr">
        <is>
          <t>KUNGÄLV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46318</v>
      </c>
      <c r="F75" t="inlineStr">
        <is>
          <t>VÄSTRA GÖTALANDS LÄN</t>
        </is>
      </c>
      <c r="G75" t="inlineStr">
        <is>
          <t>KUNGÄLV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74285-2021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44558</v>
      </c>
      <c r="E76" s="1" t="n">
        <v>46318</v>
      </c>
      <c r="F76" t="inlineStr">
        <is>
          <t>VÄSTRA GÖTALANDS LÄN</t>
        </is>
      </c>
      <c r="G76" t="inlineStr">
        <is>
          <t>KUNGÄLV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46318</v>
      </c>
      <c r="F77" t="inlineStr">
        <is>
          <t>VÄSTRA GÖTALANDS LÄN</t>
        </is>
      </c>
      <c r="G77" t="inlineStr">
        <is>
          <t>KUNGÄLV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46098</v>
      </c>
      <c r="E78" s="1" t="n">
        <v>46318</v>
      </c>
      <c r="F78" t="inlineStr">
        <is>
          <t>VÄSTRA GÖTALANDS LÄN</t>
        </is>
      </c>
      <c r="G78" t="inlineStr">
        <is>
          <t>KUNGÄLV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43193-2026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46313</v>
      </c>
      <c r="E79" s="1" t="n">
        <v>46318</v>
      </c>
      <c r="F79" t="inlineStr">
        <is>
          <t>VÄSTRA GÖTALANDS LÄN</t>
        </is>
      </c>
      <c r="G79" t="inlineStr">
        <is>
          <t>KUNGÄLV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43191-2026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46313</v>
      </c>
      <c r="E80" s="1" t="n">
        <v>46318</v>
      </c>
      <c r="F80" t="inlineStr">
        <is>
          <t>VÄSTRA GÖTALANDS LÄN</t>
        </is>
      </c>
      <c r="G80" t="inlineStr">
        <is>
          <t>KUNGÄLV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34244-2025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45844</v>
      </c>
      <c r="E81" s="1" t="n">
        <v>46318</v>
      </c>
      <c r="F81" t="inlineStr">
        <is>
          <t>VÄSTRA GÖTALANDS LÄN</t>
        </is>
      </c>
      <c r="G81" t="inlineStr">
        <is>
          <t>KUNGÄLV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44975</v>
      </c>
      <c r="E82" s="1" t="n">
        <v>46318</v>
      </c>
      <c r="F82" t="inlineStr">
        <is>
          <t>VÄSTRA GÖTALANDS LÄN</t>
        </is>
      </c>
      <c r="G82" t="inlineStr">
        <is>
          <t>KUNGÄLV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46318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46211</v>
      </c>
      <c r="E84" s="1" t="n">
        <v>46318</v>
      </c>
      <c r="F84" t="inlineStr">
        <is>
          <t>VÄSTRA GÖTALANDS LÄN</t>
        </is>
      </c>
      <c r="G84" t="inlineStr">
        <is>
          <t>KUNGÄLV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46212</v>
      </c>
      <c r="E85" s="1" t="n">
        <v>46318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46281</v>
      </c>
      <c r="E86" s="1" t="n">
        <v>46318</v>
      </c>
      <c r="F86" t="inlineStr">
        <is>
          <t>VÄSTRA GÖTALANDS LÄN</t>
        </is>
      </c>
      <c r="G86" t="inlineStr">
        <is>
          <t>KUNGÄLV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46318</v>
      </c>
      <c r="F87" t="inlineStr">
        <is>
          <t>VÄSTRA GÖTALANDS LÄN</t>
        </is>
      </c>
      <c r="G87" t="inlineStr">
        <is>
          <t>KUNGÄLV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46318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45308</v>
      </c>
      <c r="E89" s="1" t="n">
        <v>46318</v>
      </c>
      <c r="F89" t="inlineStr">
        <is>
          <t>VÄSTRA GÖTALANDS LÄN</t>
        </is>
      </c>
      <c r="G89" t="inlineStr">
        <is>
          <t>KUNGÄLV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46318</v>
      </c>
      <c r="F90" t="inlineStr">
        <is>
          <t>VÄSTRA GÖTALANDS LÄN</t>
        </is>
      </c>
      <c r="G90" t="inlineStr">
        <is>
          <t>KUNGÄLV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34396-2026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46318</v>
      </c>
      <c r="F91" t="inlineStr">
        <is>
          <t>VÄSTRA GÖTALANDS LÄN</t>
        </is>
      </c>
      <c r="G91" t="inlineStr">
        <is>
          <t>KUNGÄLV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34392-2026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46318</v>
      </c>
      <c r="F92" t="inlineStr">
        <is>
          <t>VÄSTRA GÖTALANDS LÄN</t>
        </is>
      </c>
      <c r="G92" t="inlineStr">
        <is>
          <t>KUNGÄLV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46318</v>
      </c>
      <c r="F93" t="inlineStr">
        <is>
          <t>VÄSTRA GÖTALANDS LÄN</t>
        </is>
      </c>
      <c r="G93" t="inlineStr">
        <is>
          <t>KUNGÄLV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46318</v>
      </c>
      <c r="F94" t="inlineStr">
        <is>
          <t>VÄSTRA GÖTALANDS LÄN</t>
        </is>
      </c>
      <c r="G94" t="inlineStr">
        <is>
          <t>KUNGÄLV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44989</v>
      </c>
      <c r="E95" s="1" t="n">
        <v>46318</v>
      </c>
      <c r="F95" t="inlineStr">
        <is>
          <t>VÄSTRA GÖTALANDS LÄN</t>
        </is>
      </c>
      <c r="G95" t="inlineStr">
        <is>
          <t>KUNGÄLV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46318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46302</v>
      </c>
      <c r="E97" s="1" t="n">
        <v>46318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46318</v>
      </c>
      <c r="F98" t="inlineStr">
        <is>
          <t>VÄSTRA GÖTALANDS LÄN</t>
        </is>
      </c>
      <c r="G98" t="inlineStr">
        <is>
          <t>KUNGÄLV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45271</v>
      </c>
      <c r="E99" s="1" t="n">
        <v>46318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45188</v>
      </c>
      <c r="E100" s="1" t="n">
        <v>46318</v>
      </c>
      <c r="F100" t="inlineStr">
        <is>
          <t>VÄSTRA GÖTALANDS LÄN</t>
        </is>
      </c>
      <c r="G100" t="inlineStr">
        <is>
          <t>KUNGÄLV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45470</v>
      </c>
      <c r="E101" s="1" t="n">
        <v>46318</v>
      </c>
      <c r="F101" t="inlineStr">
        <is>
          <t>VÄSTRA GÖTALANDS LÄN</t>
        </is>
      </c>
      <c r="G101" t="inlineStr">
        <is>
          <t>KUNGÄLV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44755</v>
      </c>
      <c r="E102" s="1" t="n">
        <v>46318</v>
      </c>
      <c r="F102" t="inlineStr">
        <is>
          <t>VÄSTRA GÖTALANDS LÄN</t>
        </is>
      </c>
      <c r="G102" t="inlineStr">
        <is>
          <t>KUNGÄLV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46318</v>
      </c>
      <c r="F103" t="inlineStr">
        <is>
          <t>VÄSTRA GÖTALANDS LÄN</t>
        </is>
      </c>
      <c r="G103" t="inlineStr">
        <is>
          <t>KUNGÄLV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44837</v>
      </c>
      <c r="E104" s="1" t="n">
        <v>46318</v>
      </c>
      <c r="F104" t="inlineStr">
        <is>
          <t>VÄSTRA GÖTALANDS LÄN</t>
        </is>
      </c>
      <c r="G104" t="inlineStr">
        <is>
          <t>KUNGÄLV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46318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2026-10-23T02:03:46Z</dcterms:created>
  <dcterms:modified xmlns:dcterms="http://purl.org/dc/terms/" xmlns:xsi="http://www.w3.org/2001/XMLSchema-instance" xsi:type="dcterms:W3CDTF">2026-10-23T02:03:46Z</dcterms:modified>
</cp:coreProperties>
</file>