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46227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t="n">
        <v>15</v>
      </c>
      <c r="V3" s="2" t="inlineStr">
        <is>
          <t>Mindre hackspett
Blåmossa
Stor revmossa
Västlig hakmossa
Spillkråka
Kungsfågel</t>
        </is>
      </c>
      <c r="W3">
        <f>HYPERLINK("https://klasma.github.io/Logging_1482/artfynd/A 34725-2024 artfynd.xlsx", "A 34725-2024")</f>
        <v/>
      </c>
      <c r="X3">
        <f>HYPERLINK("https://klasma.github.io/Logging_1482/kartor/A 34725-2024 karta.png", "A 34725-2024")</f>
        <v/>
      </c>
      <c r="Y3">
        <f>HYPERLINK("https://klasma.github.io/Logging_1482/kartor_geotiff/A 34725-2024 georefererad karta.tif", "A 34725-2024")</f>
        <v/>
      </c>
      <c r="AA3">
        <f>HYPERLINK("https://klasma.github.io/Logging_1482/klagomål/A 34725-2024 FSC-klagomål.docx", "A 34725-2024")</f>
        <v/>
      </c>
      <c r="AB3">
        <f>HYPERLINK("https://klasma.github.io/Logging_1482/klagomålsmail/A 34725-2024 FSC-klagomål mail.docx", "A 34725-2024")</f>
        <v/>
      </c>
      <c r="AC3">
        <f>HYPERLINK("https://klasma.github.io/Logging_1482/tillsyn/A 34725-2024 tillsynsbegäran.docx", "A 34725-2024")</f>
        <v/>
      </c>
      <c r="AD3">
        <f>HYPERLINK("https://klasma.github.io/Logging_1482/tillsynsmail/A 34725-2024 tillsynsbegäran mail.docx", "A 34725-2024")</f>
        <v/>
      </c>
      <c r="AE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46227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Björktrast
Talltita
Blåmossa
Kambräken
Spillkråka</t>
        </is>
      </c>
      <c r="W4">
        <f>HYPERLINK("https://klasma.github.io/Logging_1482/artfynd/A 6041-2025 artfynd.xlsx", "A 6041-2025")</f>
        <v/>
      </c>
      <c r="X4">
        <f>HYPERLINK("https://klasma.github.io/Logging_1482/kartor/A 6041-2025 karta.png", "A 6041-2025")</f>
        <v/>
      </c>
      <c r="Y4">
        <f>HYPERLINK("https://klasma.github.io/Logging_1482/kartor_geotiff/A 6041-2025 georefererad karta.tif", "A 6041-2025")</f>
        <v/>
      </c>
      <c r="AA4">
        <f>HYPERLINK("https://klasma.github.io/Logging_1482/klagomål/A 6041-2025 FSC-klagomål.docx", "A 6041-2025")</f>
        <v/>
      </c>
      <c r="AB4">
        <f>HYPERLINK("https://klasma.github.io/Logging_1482/klagomålsmail/A 6041-2025 FSC-klagomål mail.docx", "A 6041-2025")</f>
        <v/>
      </c>
      <c r="AC4">
        <f>HYPERLINK("https://klasma.github.io/Logging_1482/tillsyn/A 6041-2025 tillsynsbegäran.docx", "A 6041-2025")</f>
        <v/>
      </c>
      <c r="AD4">
        <f>HYPERLINK("https://klasma.github.io/Logging_1482/tillsynsmail/A 6041-2025 tillsynsbegäran mail.docx", "A 6041-2025")</f>
        <v/>
      </c>
      <c r="AE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46227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3</v>
      </c>
      <c r="V6" s="2" t="inlineStr">
        <is>
          <t>Vedtrappmossa
Västlig hakmossa
Spillkråka
Revlummer</t>
        </is>
      </c>
      <c r="W6">
        <f>HYPERLINK("https://klasma.github.io/Logging_1482/artfynd/A 36424-2025 artfynd.xlsx", "A 36424-2025")</f>
        <v/>
      </c>
      <c r="X6">
        <f>HYPERLINK("https://klasma.github.io/Logging_1482/kartor/A 36424-2025 karta.png", "A 36424-2025")</f>
        <v/>
      </c>
      <c r="Y6">
        <f>HYPERLINK("https://klasma.github.io/Logging_1482/kartor_geotiff/A 36424-2025 georefererad karta.tif", "A 36424-2025")</f>
        <v/>
      </c>
      <c r="AA6">
        <f>HYPERLINK("https://klasma.github.io/Logging_1482/klagomål/A 36424-2025 FSC-klagomål.docx", "A 36424-2025")</f>
        <v/>
      </c>
      <c r="AB6">
        <f>HYPERLINK("https://klasma.github.io/Logging_1482/klagomålsmail/A 36424-2025 FSC-klagomål mail.docx", "A 36424-2025")</f>
        <v/>
      </c>
      <c r="AC6">
        <f>HYPERLINK("https://klasma.github.io/Logging_1482/tillsyn/A 36424-2025 tillsynsbegäran.docx", "A 36424-2025")</f>
        <v/>
      </c>
      <c r="AD6">
        <f>HYPERLINK("https://klasma.github.io/Logging_1482/tillsynsmail/A 36424-2025 tillsynsbegäran mail.docx", "A 36424-2025")</f>
        <v/>
      </c>
      <c r="AE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46227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46227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46227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46227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46227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5631-2024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46227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Vanlig groda
Fläcknycklar</t>
        </is>
      </c>
      <c r="W13">
        <f>HYPERLINK("https://klasma.github.io/Logging_1482/artfynd/A 5631-2024 artfynd.xlsx", "A 5631-2024")</f>
        <v/>
      </c>
      <c r="X13">
        <f>HYPERLINK("https://klasma.github.io/Logging_1482/kartor/A 5631-2024 karta.png", "A 5631-2024")</f>
        <v/>
      </c>
      <c r="Y13">
        <f>HYPERLINK("https://klasma.github.io/Logging_1482/kartor_geotiff/A 5631-2024 georefererad karta.tif", "A 5631-2024")</f>
        <v/>
      </c>
      <c r="AA13">
        <f>HYPERLINK("https://klasma.github.io/Logging_1482/klagomål/A 5631-2024 FSC-klagomål.docx", "A 5631-2024")</f>
        <v/>
      </c>
      <c r="AB13">
        <f>HYPERLINK("https://klasma.github.io/Logging_1482/klagomålsmail/A 5631-2024 FSC-klagomål mail.docx", "A 5631-2024")</f>
        <v/>
      </c>
      <c r="AC13">
        <f>HYPERLINK("https://klasma.github.io/Logging_1482/tillsyn/A 5631-2024 tillsynsbegäran.docx", "A 5631-2024")</f>
        <v/>
      </c>
      <c r="AD13">
        <f>HYPERLINK("https://klasma.github.io/Logging_1482/tillsynsmail/A 5631-2024 tillsynsbegäran mail.docx", "A 5631-2024")</f>
        <v/>
      </c>
    </row>
    <row r="14" ht="15" customHeight="1">
      <c r="A14" t="inlineStr">
        <is>
          <t>A 5637-2024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46227</v>
      </c>
      <c r="F14" t="inlineStr">
        <is>
          <t>VÄSTRA GÖTALANDS LÄN</t>
        </is>
      </c>
      <c r="G14" t="inlineStr">
        <is>
          <t>KUNGÄLV</t>
        </is>
      </c>
      <c r="I14" t="n">
        <v>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Klofibbla
Åkerrödtoppa</t>
        </is>
      </c>
      <c r="W14">
        <f>HYPERLINK("https://klasma.github.io/Logging_1482/artfynd/A 5637-2024 artfynd.xlsx", "A 5637-2024")</f>
        <v/>
      </c>
      <c r="X14">
        <f>HYPERLINK("https://klasma.github.io/Logging_1482/kartor/A 5637-2024 karta.png", "A 5637-2024")</f>
        <v/>
      </c>
      <c r="Y14">
        <f>HYPERLINK("https://klasma.github.io/Logging_1482/kartor_geotiff/A 5637-2024 georefererad karta.tif", "A 5637-2024")</f>
        <v/>
      </c>
      <c r="AA14">
        <f>HYPERLINK("https://klasma.github.io/Logging_1482/klagomål/A 5637-2024 FSC-klagomål.docx", "A 5637-2024")</f>
        <v/>
      </c>
      <c r="AB14">
        <f>HYPERLINK("https://klasma.github.io/Logging_1482/klagomålsmail/A 5637-2024 FSC-klagomål mail.docx", "A 5637-2024")</f>
        <v/>
      </c>
      <c r="AC14">
        <f>HYPERLINK("https://klasma.github.io/Logging_1482/tillsyn/A 5637-2024 tillsynsbegäran.docx", "A 5637-2024")</f>
        <v/>
      </c>
      <c r="AD14">
        <f>HYPERLINK("https://klasma.github.io/Logging_1482/tillsynsmail/A 5637-2024 tillsynsbegäran mail.docx", "A 5637-2024")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46227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46227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46227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46227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HYPERLINK("https://klasma.github.io/Logging_1482/artfynd/A 49988-2023 artfynd.xlsx", "A 49988-2023")</f>
        <v/>
      </c>
      <c r="X18">
        <f>HYPERLINK("https://klasma.github.io/Logging_1482/kartor/A 49988-2023 karta.png", "A 49988-2023")</f>
        <v/>
      </c>
      <c r="Y18">
        <f>HYPERLINK("https://klasma.github.io/Logging_1482/kartor_geotiff/A 49988-2023 georefererad karta.tif", "A 49988-2023")</f>
        <v/>
      </c>
      <c r="AA18">
        <f>HYPERLINK("https://klasma.github.io/Logging_1482/klagomål/A 49988-2023 FSC-klagomål.docx", "A 49988-2023")</f>
        <v/>
      </c>
      <c r="AB18">
        <f>HYPERLINK("https://klasma.github.io/Logging_1482/klagomålsmail/A 49988-2023 FSC-klagomål mail.docx", "A 49988-2023")</f>
        <v/>
      </c>
      <c r="AC18">
        <f>HYPERLINK("https://klasma.github.io/Logging_1482/tillsyn/A 49988-2023 tillsynsbegäran.docx", "A 49988-2023")</f>
        <v/>
      </c>
      <c r="AD18">
        <f>HYPERLINK("https://klasma.github.io/Logging_1482/tillsynsmail/A 49988-2023 tillsynsbegäran mail.docx", "A 49988-2023")</f>
        <v/>
      </c>
    </row>
    <row r="19" ht="15" customHeight="1">
      <c r="A19" t="inlineStr">
        <is>
          <t>A 23704-2024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45454</v>
      </c>
      <c r="E19" s="1" t="n">
        <v>46227</v>
      </c>
      <c r="F19" t="inlineStr">
        <is>
          <t>VÄSTRA GÖTALANDS LÄN</t>
        </is>
      </c>
      <c r="G19" t="inlineStr">
        <is>
          <t>KUNGÄLV</t>
        </is>
      </c>
      <c r="I19" t="n">
        <v>4.9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Hedjohannesört</t>
        </is>
      </c>
      <c r="W19">
        <f>HYPERLINK("https://klasma.github.io/Logging_1482/artfynd/A 23704-2024 artfynd.xlsx", "A 23704-2024")</f>
        <v/>
      </c>
      <c r="X19">
        <f>HYPERLINK("https://klasma.github.io/Logging_1482/kartor/A 23704-2024 karta.png", "A 23704-2024")</f>
        <v/>
      </c>
      <c r="Y19">
        <f>HYPERLINK("https://klasma.github.io/Logging_1482/kartor_geotiff/A 23704-2024 georefererad karta.tif", "A 23704-2024")</f>
        <v/>
      </c>
      <c r="AA19">
        <f>HYPERLINK("https://klasma.github.io/Logging_1482/klagomål/A 23704-2024 FSC-klagomål.docx", "A 23704-2024")</f>
        <v/>
      </c>
      <c r="AB19">
        <f>HYPERLINK("https://klasma.github.io/Logging_1482/klagomålsmail/A 23704-2024 FSC-klagomål mail.docx", "A 23704-2024")</f>
        <v/>
      </c>
      <c r="AC19">
        <f>HYPERLINK("https://klasma.github.io/Logging_1482/tillsyn/A 23704-2024 tillsynsbegäran.docx", "A 23704-2024")</f>
        <v/>
      </c>
      <c r="AD19">
        <f>HYPERLINK("https://klasma.github.io/Logging_1482/tillsynsmail/A 23704-2024 tillsynsbegäran mail.docx", "A 23704-2024")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46227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30860-2026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46227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Grönsångare</t>
        </is>
      </c>
      <c r="W21">
        <f>HYPERLINK("https://klasma.github.io/Logging_1482/artfynd/A 30860-2026 artfynd.xlsx", "A 30860-2026")</f>
        <v/>
      </c>
      <c r="X21">
        <f>HYPERLINK("https://klasma.github.io/Logging_1482/kartor/A 30860-2026 karta.png", "A 30860-2026")</f>
        <v/>
      </c>
      <c r="Y21">
        <f>HYPERLINK("https://klasma.github.io/Logging_1482/kartor_geotiff/A 30860-2026 georefererad karta.tif", "A 30860-2026")</f>
        <v/>
      </c>
      <c r="AA21">
        <f>HYPERLINK("https://klasma.github.io/Logging_1482/klagomål/A 30860-2026 FSC-klagomål.docx", "A 30860-2026")</f>
        <v/>
      </c>
      <c r="AB21">
        <f>HYPERLINK("https://klasma.github.io/Logging_1482/klagomålsmail/A 30860-2026 FSC-klagomål mail.docx", "A 30860-2026")</f>
        <v/>
      </c>
      <c r="AC21">
        <f>HYPERLINK("https://klasma.github.io/Logging_1482/tillsyn/A 30860-2026 tillsynsbegäran.docx", "A 30860-2026")</f>
        <v/>
      </c>
      <c r="AD21">
        <f>HYPERLINK("https://klasma.github.io/Logging_1482/tillsynsmail/A 30860-2026 tillsynsbegäran mail.docx", "A 30860-2026")</f>
        <v/>
      </c>
      <c r="AE21">
        <f>HYPERLINK("https://klasma.github.io/Logging_1482/fåglar/A 30860-2026 prioriterade fågelarter.docx", "A 30860-2026")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46227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46227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46227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46227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46227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46227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46227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46227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46227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46227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46227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46227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46227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46227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46227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46227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45222</v>
      </c>
      <c r="E39" s="1" t="n">
        <v>46227</v>
      </c>
      <c r="F39" t="inlineStr">
        <is>
          <t>VÄSTRA GÖTALANDS LÄN</t>
        </is>
      </c>
      <c r="G39" t="inlineStr">
        <is>
          <t>KUNGÄLV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45391</v>
      </c>
      <c r="E40" s="1" t="n">
        <v>46227</v>
      </c>
      <c r="F40" t="inlineStr">
        <is>
          <t>VÄSTRA GÖTALANDS LÄN</t>
        </is>
      </c>
      <c r="G40" t="inlineStr">
        <is>
          <t>KUNGÄLV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45308</v>
      </c>
      <c r="E41" s="1" t="n">
        <v>46227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46227</v>
      </c>
      <c r="F42" t="inlineStr">
        <is>
          <t>VÄSTRA GÖTALANDS LÄN</t>
        </is>
      </c>
      <c r="G42" t="inlineStr">
        <is>
          <t>KUNGÄLV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41765-2021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44425</v>
      </c>
      <c r="E43" s="1" t="n">
        <v>46227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10679-2025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45721</v>
      </c>
      <c r="E44" s="1" t="n">
        <v>46227</v>
      </c>
      <c r="F44" t="inlineStr">
        <is>
          <t>VÄSTRA GÖTALANDS LÄN</t>
        </is>
      </c>
      <c r="G44" t="inlineStr">
        <is>
          <t>KUNGÄLV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46227</v>
      </c>
      <c r="F45" t="inlineStr">
        <is>
          <t>VÄSTRA GÖTALANDS LÄN</t>
        </is>
      </c>
      <c r="G45" t="inlineStr">
        <is>
          <t>KUNGÄLV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52932-2025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45957</v>
      </c>
      <c r="E46" s="1" t="n">
        <v>46227</v>
      </c>
      <c r="F46" t="inlineStr">
        <is>
          <t>VÄSTRA GÖTALANDS LÄN</t>
        </is>
      </c>
      <c r="G46" t="inlineStr">
        <is>
          <t>KUNGÄLV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45743</v>
      </c>
      <c r="E47" s="1" t="n">
        <v>46227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45721</v>
      </c>
      <c r="E48" s="1" t="n">
        <v>46227</v>
      </c>
      <c r="F48" t="inlineStr">
        <is>
          <t>VÄSTRA GÖTALANDS LÄN</t>
        </is>
      </c>
      <c r="G48" t="inlineStr">
        <is>
          <t>KUNGÄLV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74285-2021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44558</v>
      </c>
      <c r="E49" s="1" t="n">
        <v>46227</v>
      </c>
      <c r="F49" t="inlineStr">
        <is>
          <t>VÄSTRA GÖTALANDS LÄN</t>
        </is>
      </c>
      <c r="G49" t="inlineStr">
        <is>
          <t>KUNGÄLV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44837</v>
      </c>
      <c r="E50" s="1" t="n">
        <v>46227</v>
      </c>
      <c r="F50" t="inlineStr">
        <is>
          <t>VÄSTRA GÖTALANDS LÄN</t>
        </is>
      </c>
      <c r="G50" t="inlineStr">
        <is>
          <t>KUNGÄLV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61417-2022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44916</v>
      </c>
      <c r="E51" s="1" t="n">
        <v>46227</v>
      </c>
      <c r="F51" t="inlineStr">
        <is>
          <t>VÄSTRA GÖTALANDS LÄN</t>
        </is>
      </c>
      <c r="G51" t="inlineStr">
        <is>
          <t>KUNGÄLV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46227</v>
      </c>
      <c r="F52" t="inlineStr">
        <is>
          <t>VÄSTRA GÖTALANDS LÄN</t>
        </is>
      </c>
      <c r="G52" t="inlineStr">
        <is>
          <t>KUNGÄLV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45482</v>
      </c>
      <c r="E53" s="1" t="n">
        <v>46227</v>
      </c>
      <c r="F53" t="inlineStr">
        <is>
          <t>VÄSTRA GÖTALANDS LÄN</t>
        </is>
      </c>
      <c r="G53" t="inlineStr">
        <is>
          <t>KUNGÄLV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46227</v>
      </c>
      <c r="F54" t="inlineStr">
        <is>
          <t>VÄSTRA GÖTALANDS LÄN</t>
        </is>
      </c>
      <c r="G54" t="inlineStr">
        <is>
          <t>KUNGÄLV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45897</v>
      </c>
      <c r="E55" s="1" t="n">
        <v>46227</v>
      </c>
      <c r="F55" t="inlineStr">
        <is>
          <t>VÄSTRA GÖTALANDS LÄN</t>
        </is>
      </c>
      <c r="G55" t="inlineStr">
        <is>
          <t>KUNGÄLV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44975</v>
      </c>
      <c r="E56" s="1" t="n">
        <v>46227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34244-2025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45844</v>
      </c>
      <c r="E57" s="1" t="n">
        <v>46227</v>
      </c>
      <c r="F57" t="inlineStr">
        <is>
          <t>VÄSTRA GÖTALANDS LÄN</t>
        </is>
      </c>
      <c r="G57" t="inlineStr">
        <is>
          <t>KUNGÄLV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46227</v>
      </c>
      <c r="F58" t="inlineStr">
        <is>
          <t>VÄSTRA GÖTALANDS LÄN</t>
        </is>
      </c>
      <c r="G58" t="inlineStr">
        <is>
          <t>KUNGÄLV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45803</v>
      </c>
      <c r="E59" s="1" t="n">
        <v>46227</v>
      </c>
      <c r="F59" t="inlineStr">
        <is>
          <t>VÄSTRA GÖTALANDS LÄN</t>
        </is>
      </c>
      <c r="G59" t="inlineStr">
        <is>
          <t>KUNGÄLV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46227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45324</v>
      </c>
      <c r="E61" s="1" t="n">
        <v>46227</v>
      </c>
      <c r="F61" t="inlineStr">
        <is>
          <t>VÄSTRA GÖTALANDS LÄN</t>
        </is>
      </c>
      <c r="G61" t="inlineStr">
        <is>
          <t>KUNGÄLV</t>
        </is>
      </c>
      <c r="I61" t="n">
        <v>14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46227</v>
      </c>
      <c r="F62" t="inlineStr">
        <is>
          <t>VÄSTRA GÖTALANDS LÄN</t>
        </is>
      </c>
      <c r="G62" t="inlineStr">
        <is>
          <t>KUNGÄLV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46227</v>
      </c>
      <c r="F63" t="inlineStr">
        <is>
          <t>VÄSTRA GÖTALANDS LÄN</t>
        </is>
      </c>
      <c r="G63" t="inlineStr">
        <is>
          <t>KUNGÄLV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46227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46048</v>
      </c>
      <c r="E65" s="1" t="n">
        <v>46227</v>
      </c>
      <c r="F65" t="inlineStr">
        <is>
          <t>VÄSTRA GÖTALANDS LÄN</t>
        </is>
      </c>
      <c r="G65" t="inlineStr">
        <is>
          <t>KUNGÄLV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6946-2026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46057</v>
      </c>
      <c r="E66" s="1" t="n">
        <v>46227</v>
      </c>
      <c r="F66" t="inlineStr">
        <is>
          <t>VÄSTRA GÖTALANDS LÄN</t>
        </is>
      </c>
      <c r="G66" t="inlineStr">
        <is>
          <t>KUNGÄLV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45082</v>
      </c>
      <c r="E67" s="1" t="n">
        <v>46227</v>
      </c>
      <c r="F67" t="inlineStr">
        <is>
          <t>VÄSTRA GÖTALANDS LÄN</t>
        </is>
      </c>
      <c r="G67" t="inlineStr">
        <is>
          <t>KUNGÄLV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44928</v>
      </c>
      <c r="E68" s="1" t="n">
        <v>46227</v>
      </c>
      <c r="F68" t="inlineStr">
        <is>
          <t>VÄSTRA GÖTALANDS LÄN</t>
        </is>
      </c>
      <c r="G68" t="inlineStr">
        <is>
          <t>KUNGÄLV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63319-2021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46227</v>
      </c>
      <c r="F69" t="inlineStr">
        <is>
          <t>VÄSTRA GÖTALANDS LÄN</t>
        </is>
      </c>
      <c r="G69" t="inlineStr">
        <is>
          <t>KUNGÄLV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45877</v>
      </c>
      <c r="E70" s="1" t="n">
        <v>46227</v>
      </c>
      <c r="F70" t="inlineStr">
        <is>
          <t>VÄSTRA GÖTALANDS LÄN</t>
        </is>
      </c>
      <c r="G70" t="inlineStr">
        <is>
          <t>KUNGÄLV</t>
        </is>
      </c>
      <c r="H70" t="inlineStr">
        <is>
          <t>Kyrkan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46227</v>
      </c>
      <c r="F71" t="inlineStr">
        <is>
          <t>VÄSTRA GÖTALANDS LÄN</t>
        </is>
      </c>
      <c r="G71" t="inlineStr">
        <is>
          <t>KUNGÄLV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45347</v>
      </c>
      <c r="E72" s="1" t="n">
        <v>46227</v>
      </c>
      <c r="F72" t="inlineStr">
        <is>
          <t>VÄSTRA GÖTALANDS LÄN</t>
        </is>
      </c>
      <c r="G72" t="inlineStr">
        <is>
          <t>KUNGÄLV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46227</v>
      </c>
      <c r="F73" t="inlineStr">
        <is>
          <t>VÄSTRA GÖTALANDS LÄN</t>
        </is>
      </c>
      <c r="G73" t="inlineStr">
        <is>
          <t>KUNGÄLV</t>
        </is>
      </c>
      <c r="I73" t="n">
        <v>13.3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46227</v>
      </c>
      <c r="F74" t="inlineStr">
        <is>
          <t>VÄSTRA GÖTALANDS LÄN</t>
        </is>
      </c>
      <c r="G74" t="inlineStr">
        <is>
          <t>KUNGÄLV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46227</v>
      </c>
      <c r="F75" t="inlineStr">
        <is>
          <t>VÄSTRA GÖTALANDS LÄN</t>
        </is>
      </c>
      <c r="G75" t="inlineStr">
        <is>
          <t>KUNGÄLV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45931</v>
      </c>
      <c r="E76" s="1" t="n">
        <v>46227</v>
      </c>
      <c r="F76" t="inlineStr">
        <is>
          <t>VÄSTRA GÖTALANDS LÄN</t>
        </is>
      </c>
      <c r="G76" t="inlineStr">
        <is>
          <t>KUNGÄLV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46227</v>
      </c>
      <c r="F77" t="inlineStr">
        <is>
          <t>VÄSTRA GÖTALANDS LÄN</t>
        </is>
      </c>
      <c r="G77" t="inlineStr">
        <is>
          <t>KUNGÄLV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19531-2023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46227</v>
      </c>
      <c r="F78" t="inlineStr">
        <is>
          <t>VÄSTRA GÖTALANDS LÄN</t>
        </is>
      </c>
      <c r="G78" t="inlineStr">
        <is>
          <t>KUNGÄLV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46227</v>
      </c>
      <c r="F79" t="inlineStr">
        <is>
          <t>VÄSTRA GÖTALANDS LÄN</t>
        </is>
      </c>
      <c r="G79" t="inlineStr">
        <is>
          <t>KUNGÄLV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45694</v>
      </c>
      <c r="E80" s="1" t="n">
        <v>46227</v>
      </c>
      <c r="F80" t="inlineStr">
        <is>
          <t>VÄSTRA GÖTALANDS LÄN</t>
        </is>
      </c>
      <c r="G80" t="inlineStr">
        <is>
          <t>KUNGÄLV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62979-2023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45271</v>
      </c>
      <c r="E81" s="1" t="n">
        <v>46227</v>
      </c>
      <c r="F81" t="inlineStr">
        <is>
          <t>VÄSTRA GÖTALANDS LÄN</t>
        </is>
      </c>
      <c r="G81" t="inlineStr">
        <is>
          <t>KUNGÄLV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45751</v>
      </c>
      <c r="E82" s="1" t="n">
        <v>46227</v>
      </c>
      <c r="F82" t="inlineStr">
        <is>
          <t>VÄSTRA GÖTALANDS LÄN</t>
        </is>
      </c>
      <c r="G82" t="inlineStr">
        <is>
          <t>KUNGÄLV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44755</v>
      </c>
      <c r="E83" s="1" t="n">
        <v>46227</v>
      </c>
      <c r="F83" t="inlineStr">
        <is>
          <t>VÄSTRA GÖTALANDS LÄN</t>
        </is>
      </c>
      <c r="G83" t="inlineStr">
        <is>
          <t>KUNGÄLV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46227</v>
      </c>
      <c r="F84" t="inlineStr">
        <is>
          <t>VÄSTRA GÖTALANDS LÄN</t>
        </is>
      </c>
      <c r="G84" t="inlineStr">
        <is>
          <t>KUNGÄLV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46227</v>
      </c>
      <c r="F85" t="inlineStr">
        <is>
          <t>VÄSTRA GÖTALANDS LÄN</t>
        </is>
      </c>
      <c r="G85" t="inlineStr">
        <is>
          <t>KUNGÄLV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46157</v>
      </c>
      <c r="E86" s="1" t="n">
        <v>46227</v>
      </c>
      <c r="F86" t="inlineStr">
        <is>
          <t>VÄSTRA GÖTALANDS LÄN</t>
        </is>
      </c>
      <c r="G86" t="inlineStr">
        <is>
          <t>KUNGÄLV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45837</v>
      </c>
      <c r="E87" s="1" t="n">
        <v>46227</v>
      </c>
      <c r="F87" t="inlineStr">
        <is>
          <t>VÄSTRA GÖTALANDS LÄN</t>
        </is>
      </c>
      <c r="G87" t="inlineStr">
        <is>
          <t>KUNGÄLV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46163</v>
      </c>
      <c r="E88" s="1" t="n">
        <v>46227</v>
      </c>
      <c r="F88" t="inlineStr">
        <is>
          <t>VÄSTRA GÖTALANDS LÄN</t>
        </is>
      </c>
      <c r="G88" t="inlineStr">
        <is>
          <t>KUNGÄLV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46227</v>
      </c>
      <c r="F89" t="inlineStr">
        <is>
          <t>VÄSTRA GÖTALANDS LÄN</t>
        </is>
      </c>
      <c r="G89" t="inlineStr">
        <is>
          <t>KUNGÄLV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46227</v>
      </c>
      <c r="F90" t="inlineStr">
        <is>
          <t>VÄSTRA GÖTALANDS LÄN</t>
        </is>
      </c>
      <c r="G90" t="inlineStr">
        <is>
          <t>KUNGÄLV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46227</v>
      </c>
      <c r="F91" t="inlineStr">
        <is>
          <t>VÄSTRA GÖTALANDS LÄN</t>
        </is>
      </c>
      <c r="G91" t="inlineStr">
        <is>
          <t>KUNGÄLV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30859-2026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46212</v>
      </c>
      <c r="E92" s="1" t="n">
        <v>46227</v>
      </c>
      <c r="F92" t="inlineStr">
        <is>
          <t>VÄSTRA GÖTALANDS LÄN</t>
        </is>
      </c>
      <c r="G92" t="inlineStr">
        <is>
          <t>KUNGÄLV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30872-2026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46212</v>
      </c>
      <c r="E93" s="1" t="n">
        <v>46227</v>
      </c>
      <c r="F93" t="inlineStr">
        <is>
          <t>VÄSTRA GÖTALANDS LÄN</t>
        </is>
      </c>
      <c r="G93" t="inlineStr">
        <is>
          <t>KUNGÄLV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46227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45470</v>
      </c>
      <c r="E95" s="1" t="n">
        <v>46227</v>
      </c>
      <c r="F95" t="inlineStr">
        <is>
          <t>VÄSTRA GÖTALANDS LÄN</t>
        </is>
      </c>
      <c r="G95" t="inlineStr">
        <is>
          <t>KUNGÄLV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44989</v>
      </c>
      <c r="E96" s="1" t="n">
        <v>46227</v>
      </c>
      <c r="F96" t="inlineStr">
        <is>
          <t>VÄSTRA GÖTALANDS LÄN</t>
        </is>
      </c>
      <c r="G96" t="inlineStr">
        <is>
          <t>KUNGÄLV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46227</v>
      </c>
      <c r="F97" t="inlineStr">
        <is>
          <t>VÄSTRA GÖTALANDS LÄN</t>
        </is>
      </c>
      <c r="G97" t="inlineStr">
        <is>
          <t>KUNGÄLV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21240-2023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45058</v>
      </c>
      <c r="E98" s="1" t="n">
        <v>46227</v>
      </c>
      <c r="F98" t="inlineStr">
        <is>
          <t>VÄSTRA GÖTALANDS LÄN</t>
        </is>
      </c>
      <c r="G98" t="inlineStr">
        <is>
          <t>KUNGÄLV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46227</v>
      </c>
      <c r="F99" t="inlineStr">
        <is>
          <t>VÄSTRA GÖTALANDS LÄN</t>
        </is>
      </c>
      <c r="G99" t="inlineStr">
        <is>
          <t>KUNGÄLV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46227</v>
      </c>
      <c r="F100" t="inlineStr">
        <is>
          <t>VÄSTRA GÖTALANDS LÄN</t>
        </is>
      </c>
      <c r="G100" t="inlineStr">
        <is>
          <t>KUNGÄLV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44176-2023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45188</v>
      </c>
      <c r="E101" s="1" t="n">
        <v>46227</v>
      </c>
      <c r="F101" t="inlineStr">
        <is>
          <t>VÄSTRA GÖTALANDS LÄN</t>
        </is>
      </c>
      <c r="G101" t="inlineStr">
        <is>
          <t>KUNGÄLV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46227</v>
      </c>
      <c r="F102" t="inlineStr">
        <is>
          <t>VÄSTRA GÖTALANDS LÄN</t>
        </is>
      </c>
      <c r="G102" t="inlineStr">
        <is>
          <t>KUNGÄLV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45552</v>
      </c>
      <c r="E103" s="1" t="n">
        <v>46227</v>
      </c>
      <c r="F103" t="inlineStr">
        <is>
          <t>VÄSTRA GÖTALANDS LÄN</t>
        </is>
      </c>
      <c r="G103" t="inlineStr">
        <is>
          <t>KUNGÄLV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46227</v>
      </c>
      <c r="F104" t="inlineStr">
        <is>
          <t>VÄSTRA GÖTALANDS LÄN</t>
        </is>
      </c>
      <c r="G104" t="inlineStr">
        <is>
          <t>KUNGÄLV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46227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2026-07-24T01:46:15Z</dcterms:created>
  <dcterms:modified xmlns:dcterms="http://purl.org/dc/terms/" xmlns:xsi="http://www.w3.org/2001/XMLSchema-instance" xsi:type="dcterms:W3CDTF">2026-07-24T01:46:15Z</dcterms:modified>
</cp:coreProperties>
</file>